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gate to ozkaya\Ongoing 2020\conf&amp;pub20\prep\FFNSIZE 2020\"/>
    </mc:Choice>
  </mc:AlternateContent>
  <bookViews>
    <workbookView minimized="1" xWindow="2595" yWindow="1860" windowWidth="20730" windowHeight="11580"/>
  </bookViews>
  <sheets>
    <sheet name="SFM" sheetId="43" r:id="rId1"/>
    <sheet name="TRUNCATE" sheetId="44" r:id="rId2"/>
    <sheet name="CONNECT" sheetId="46" r:id="rId3"/>
    <sheet name="HULLX" sheetId="53" r:id="rId4"/>
    <sheet name="Hullcomp" sheetId="62" r:id="rId5"/>
  </sheets>
  <definedNames>
    <definedName name="_xlnm._FilterDatabase" localSheetId="3" hidden="1">HULLX!$B$9:$F$9</definedName>
    <definedName name="alfa">SFM!$O$12</definedName>
    <definedName name="b">SFM!$N$14=SFM!$O$14</definedName>
    <definedName name="cmin">SFM!$O$12</definedName>
    <definedName name="Lav">SFM!$O$11</definedName>
    <definedName name="n">SFM!$O$13</definedName>
    <definedName name="stdev">SFM!$O$16</definedName>
    <definedName name="var">SFM!$O$15</definedName>
  </definedNames>
  <calcPr calcId="152511"/>
</workbook>
</file>

<file path=xl/calcChain.xml><?xml version="1.0" encoding="utf-8"?>
<calcChain xmlns="http://schemas.openxmlformats.org/spreadsheetml/2006/main">
  <c r="O11" i="43" l="1"/>
  <c r="O12" i="43" l="1"/>
  <c r="O13" i="43" s="1"/>
  <c r="O14" i="43" l="1"/>
  <c r="O15" i="43"/>
  <c r="O16" i="43" s="1"/>
  <c r="E36" i="43"/>
  <c r="E37" i="43" s="1"/>
  <c r="F36" i="43"/>
  <c r="F37" i="43" s="1"/>
  <c r="G36" i="43"/>
  <c r="G37" i="43" s="1"/>
  <c r="S15" i="44"/>
  <c r="H27" i="43"/>
  <c r="S14" i="44"/>
  <c r="S13" i="44"/>
  <c r="D29" i="62"/>
  <c r="D22" i="62"/>
  <c r="D27" i="62"/>
  <c r="EP41" i="46"/>
  <c r="D38" i="62"/>
  <c r="D37" i="62"/>
  <c r="D36" i="62"/>
  <c r="D32" i="62"/>
  <c r="D28" i="62"/>
  <c r="D25" i="62"/>
  <c r="D24" i="62"/>
  <c r="D31" i="62"/>
  <c r="D34" i="62"/>
  <c r="D33" i="62"/>
  <c r="D23" i="62"/>
  <c r="D15" i="62"/>
  <c r="D14" i="62"/>
  <c r="D13" i="62"/>
  <c r="D12" i="62"/>
  <c r="D11" i="62"/>
  <c r="D10" i="62"/>
  <c r="D9" i="62"/>
  <c r="D8" i="62"/>
  <c r="D7" i="62"/>
  <c r="D6" i="62"/>
  <c r="D5" i="62"/>
  <c r="V4" i="53"/>
  <c r="MW41" i="46"/>
  <c r="QX41" i="46"/>
  <c r="SG41" i="46"/>
  <c r="YZ40" i="46"/>
  <c r="ADT5" i="46"/>
  <c r="ADT4" i="46"/>
  <c r="I37" i="43" l="1"/>
  <c r="D16" i="62"/>
</calcChain>
</file>

<file path=xl/sharedStrings.xml><?xml version="1.0" encoding="utf-8"?>
<sst xmlns="http://schemas.openxmlformats.org/spreadsheetml/2006/main" count="662" uniqueCount="190">
  <si>
    <t>--&gt;</t>
  </si>
  <si>
    <t>x1</t>
  </si>
  <si>
    <t>y1</t>
  </si>
  <si>
    <t>x2</t>
  </si>
  <si>
    <t>y2</t>
  </si>
  <si>
    <t>bunch min</t>
  </si>
  <si>
    <t>aver. Intersections per fracture=</t>
  </si>
  <si>
    <t>UTME</t>
  </si>
  <si>
    <t>UTMN</t>
  </si>
  <si>
    <t>ALL</t>
  </si>
  <si>
    <t>BUNDLES</t>
  </si>
  <si>
    <t>INDEX</t>
  </si>
  <si>
    <t>MAX</t>
  </si>
  <si>
    <t>Fill in the data pointed by green arrows</t>
  </si>
  <si>
    <t>&lt;---</t>
  </si>
  <si>
    <t>n set</t>
  </si>
  <si>
    <t>set 1</t>
  </si>
  <si>
    <t>set 2</t>
  </si>
  <si>
    <t>Length distribution options 1. power distribution 2 Lognormal</t>
  </si>
  <si>
    <t>Length lower cut off m (for power dist.)</t>
  </si>
  <si>
    <t>Length dist. option (1 power 2 log normal)</t>
  </si>
  <si>
    <t>set</t>
  </si>
  <si>
    <t>TRUNCATE</t>
  </si>
  <si>
    <t>Place index number of cell (from stochastic model program)</t>
  </si>
  <si>
    <t>Place set numbers (set 1 set 2 or a single set - in which case truncation is random</t>
  </si>
  <si>
    <t>Number of fractures are counted automatically</t>
  </si>
  <si>
    <t>Set probability of truncation (grey band)</t>
  </si>
  <si>
    <t>Place curson across the arrow and run</t>
  </si>
  <si>
    <t>probability of truncation</t>
  </si>
  <si>
    <t>tip1x</t>
  </si>
  <si>
    <t>tip1y</t>
  </si>
  <si>
    <t>tip2 x</t>
  </si>
  <si>
    <t>tip2 y</t>
  </si>
  <si>
    <t>UTM</t>
  </si>
  <si>
    <t>CONNECTIVITY</t>
  </si>
  <si>
    <t>Average strike deg.</t>
  </si>
  <si>
    <t>Strike standard deviation deg.</t>
  </si>
  <si>
    <t>nx</t>
  </si>
  <si>
    <t>ny</t>
  </si>
  <si>
    <t>Total area m^2</t>
  </si>
  <si>
    <t>P21</t>
  </si>
  <si>
    <t>P11</t>
  </si>
  <si>
    <t>frac no</t>
  </si>
  <si>
    <t>Area</t>
  </si>
  <si>
    <t>Scanline</t>
  </si>
  <si>
    <t>lambda</t>
  </si>
  <si>
    <t>stdev</t>
  </si>
  <si>
    <t>Fracture</t>
  </si>
  <si>
    <t>Total</t>
  </si>
  <si>
    <t>Strike</t>
  </si>
  <si>
    <t>Set</t>
  </si>
  <si>
    <t>Length standard deviation s (for log normal)</t>
  </si>
  <si>
    <t>m</t>
  </si>
  <si>
    <t>aver. Len.</t>
  </si>
  <si>
    <t>1/m</t>
  </si>
  <si>
    <t>1/m^2</t>
  </si>
  <si>
    <t>deg</t>
  </si>
  <si>
    <t>mm</t>
  </si>
  <si>
    <t>x</t>
  </si>
  <si>
    <t>y</t>
  </si>
  <si>
    <t>area m2</t>
  </si>
  <si>
    <t xml:space="preserve">aperture </t>
  </si>
  <si>
    <t>length m</t>
  </si>
  <si>
    <t>strike deg</t>
  </si>
  <si>
    <t>top side</t>
  </si>
  <si>
    <t>Envelope</t>
  </si>
  <si>
    <t>clustering coeff</t>
  </si>
  <si>
    <t>xb</t>
  </si>
  <si>
    <t>yb</t>
  </si>
  <si>
    <t>Side length of square cell  m</t>
  </si>
  <si>
    <t>Fracture scanline density 1/m</t>
  </si>
  <si>
    <t>Average fracture length m</t>
  </si>
  <si>
    <t>aci azimuth</t>
  </si>
  <si>
    <t>expected total fracture number</t>
  </si>
  <si>
    <t>generatel total fractures</t>
  </si>
  <si>
    <t>Fractures per cell</t>
  </si>
  <si>
    <t>Select  number of fractures per cell</t>
  </si>
  <si>
    <t>Cv calculated</t>
  </si>
  <si>
    <t>Vert 1 hor 2</t>
  </si>
  <si>
    <t xml:space="preserve"> x or y </t>
  </si>
  <si>
    <t>clustopt</t>
  </si>
  <si>
    <t>Cv std</t>
  </si>
  <si>
    <t>Cv xbar</t>
  </si>
  <si>
    <t>Fracture permeability tensor   mD</t>
  </si>
  <si>
    <t>if power distribution is selected check the standard deviation  and n</t>
  </si>
  <si>
    <t>Minimum length for omitting fractures</t>
  </si>
  <si>
    <t>truncate option 1-long trunc.2-as listed</t>
  </si>
  <si>
    <t>Envelope up</t>
  </si>
  <si>
    <t>bottom side</t>
  </si>
  <si>
    <t>total len m</t>
  </si>
  <si>
    <t>P11 1/m</t>
  </si>
  <si>
    <t>Maximum bundle size=</t>
  </si>
  <si>
    <t>TRUNCATED FRACTURE LIST</t>
  </si>
  <si>
    <t>average length m</t>
  </si>
  <si>
    <t>Aperture is per unit length if aperopt is 1</t>
  </si>
  <si>
    <t>aperopt</t>
  </si>
  <si>
    <t>tip1 x</t>
  </si>
  <si>
    <t>average strike</t>
  </si>
  <si>
    <t>strike standard deviation</t>
  </si>
  <si>
    <t>Porosity %</t>
  </si>
  <si>
    <t>cluster length &amp; width</t>
  </si>
  <si>
    <t xml:space="preserve">Fracture </t>
  </si>
  <si>
    <t>len m</t>
  </si>
  <si>
    <t>width m</t>
  </si>
  <si>
    <t>bsx m</t>
  </si>
  <si>
    <t xml:space="preserve">matrix block size </t>
  </si>
  <si>
    <t>bsy m</t>
  </si>
  <si>
    <t>n must be greater than 3 for a positive standard deviation. This means the cut off must be  greater than half of average length</t>
  </si>
  <si>
    <t>SFM</t>
  </si>
  <si>
    <t>Length aperture ratio</t>
  </si>
  <si>
    <t>Porosity</t>
  </si>
  <si>
    <t>fraction</t>
  </si>
  <si>
    <t>percent</t>
  </si>
  <si>
    <t>m2</t>
  </si>
  <si>
    <t>lamba</t>
  </si>
  <si>
    <t>Standard deviation calculated</t>
  </si>
  <si>
    <t>Actual average length</t>
  </si>
  <si>
    <t>Actual length variance</t>
  </si>
  <si>
    <t>Actual length standard deviation</t>
  </si>
  <si>
    <t>Variance of truncated power length</t>
  </si>
  <si>
    <t xml:space="preserve">n </t>
  </si>
  <si>
    <t>Maximum fracture length to omit</t>
  </si>
  <si>
    <t>..</t>
  </si>
  <si>
    <t>Cluster length m</t>
  </si>
  <si>
    <t>Cluster width m</t>
  </si>
  <si>
    <t>Surface area msq</t>
  </si>
  <si>
    <t>Average</t>
  </si>
  <si>
    <t>strike</t>
  </si>
  <si>
    <t>Fracture total length m</t>
  </si>
  <si>
    <t>Frature porosity</t>
  </si>
  <si>
    <t>Matrix block x size m</t>
  </si>
  <si>
    <t>Matrix block y size m</t>
  </si>
  <si>
    <t>Average strike deg</t>
  </si>
  <si>
    <t>Strike standard dev deg</t>
  </si>
  <si>
    <t>Cluster</t>
  </si>
  <si>
    <t>Matrix</t>
  </si>
  <si>
    <t xml:space="preserve">Strike </t>
  </si>
  <si>
    <t>Number</t>
  </si>
  <si>
    <t>length</t>
  </si>
  <si>
    <t>width</t>
  </si>
  <si>
    <t>surf. Area</t>
  </si>
  <si>
    <t>total len</t>
  </si>
  <si>
    <t>porosity</t>
  </si>
  <si>
    <t>block size</t>
  </si>
  <si>
    <t xml:space="preserve">standard </t>
  </si>
  <si>
    <t>of frac</t>
  </si>
  <si>
    <t>x dir m</t>
  </si>
  <si>
    <t>y dir m</t>
  </si>
  <si>
    <t>dev deg</t>
  </si>
  <si>
    <t>inters per frac</t>
  </si>
  <si>
    <t>ninters</t>
  </si>
  <si>
    <t>Average length m</t>
  </si>
  <si>
    <t>Number of fractures</t>
  </si>
  <si>
    <t>Aver</t>
  </si>
  <si>
    <t>Len</t>
  </si>
  <si>
    <t>of</t>
  </si>
  <si>
    <t>fracs</t>
  </si>
  <si>
    <t>1/m2</t>
  </si>
  <si>
    <t>Lambda min</t>
  </si>
  <si>
    <t>Average lambda</t>
  </si>
  <si>
    <t>Lambda max</t>
  </si>
  <si>
    <t>Max matrix block x m</t>
  </si>
  <si>
    <t>Max matrix block y m</t>
  </si>
  <si>
    <t>Average matrix block x m</t>
  </si>
  <si>
    <t>Average matrix block y m</t>
  </si>
  <si>
    <t>Average number of fractures</t>
  </si>
  <si>
    <t>Average area m^2</t>
  </si>
  <si>
    <t>Maximum area m^2</t>
  </si>
  <si>
    <t>Maximum fracture total length m</t>
  </si>
  <si>
    <t>Average total fracture length m</t>
  </si>
  <si>
    <t>lambda= (1/2)*(p111*lav2+p112Lav1)sin delta deta)</t>
  </si>
  <si>
    <t>delta teta</t>
  </si>
  <si>
    <t>Maximum  number of fractures</t>
  </si>
  <si>
    <t>set 3</t>
  </si>
  <si>
    <t>n</t>
  </si>
  <si>
    <t>Lav</t>
  </si>
  <si>
    <t>b</t>
  </si>
  <si>
    <t>var</t>
  </si>
  <si>
    <t>cmin</t>
  </si>
  <si>
    <t>HULLCOMP</t>
  </si>
  <si>
    <t>HULLX</t>
  </si>
  <si>
    <t xml:space="preserve"> SFM</t>
  </si>
  <si>
    <t>ERASE PREVIOUS RUN</t>
  </si>
  <si>
    <t>run SFM</t>
  </si>
  <si>
    <t>Calculation of stdev for power distribution  from truncation and average</t>
  </si>
  <si>
    <t>Place fracture sticks under green band (utm coordines of the two tips from SFM)</t>
  </si>
  <si>
    <t>place x1 y1 x2 y2 coordinates under the yellow cells from truncate</t>
  </si>
  <si>
    <t>Tolerance</t>
  </si>
  <si>
    <t>a bundle from connectivity</t>
  </si>
  <si>
    <t xml:space="preserve">Linked to set 1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</si>
</sst>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0"/>
      <name val="Arial"/>
    </font>
    <font>
      <sz val="10"/>
      <name val="Arial"/>
      <family val="2"/>
    </font>
    <font>
      <sz val="10"/>
      <color indexed="10"/>
      <name val="Arial"/>
      <family val="2"/>
    </font>
    <font>
      <sz val="10"/>
      <color theme="1"/>
      <name val="Arial"/>
      <family val="2"/>
    </font>
    <font>
      <sz val="11"/>
      <color theme="1"/>
      <name val="Calibri"/>
      <family val="2"/>
      <charset val="162"/>
    </font>
    <font>
      <sz val="10"/>
      <name val="Arial"/>
      <family val="2"/>
      <charset val="162"/>
    </font>
    <font>
      <sz val="10"/>
      <color rgb="FFFF0000"/>
      <name val="Arial"/>
      <family val="2"/>
    </font>
    <font>
      <sz val="10"/>
      <color rgb="FF0070C0"/>
      <name val="Arial"/>
      <family val="2"/>
    </font>
    <font>
      <b/>
      <sz val="10"/>
      <color rgb="FF0070C0"/>
      <name val="Arial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sz val="8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</fills>
  <borders count="1">
    <border>
      <left/>
      <right/>
      <top/>
      <bottom/>
      <diagonal/>
    </border>
  </borders>
  <cellStyleXfs count="45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0" fillId="2" borderId="0" xfId="0" applyFill="1"/>
    <xf numFmtId="0" fontId="0" fillId="3" borderId="0" xfId="0" quotePrefix="1" applyFill="1"/>
    <xf numFmtId="0" fontId="2" fillId="0" borderId="0" xfId="0" applyFont="1"/>
    <xf numFmtId="0" fontId="1" fillId="0" borderId="0" xfId="0" applyFont="1"/>
    <xf numFmtId="0" fontId="3" fillId="0" borderId="0" xfId="0" applyFont="1" applyFill="1"/>
    <xf numFmtId="0" fontId="0" fillId="4" borderId="0" xfId="0" applyFill="1"/>
    <xf numFmtId="0" fontId="0" fillId="5" borderId="0" xfId="0" quotePrefix="1" applyFill="1"/>
    <xf numFmtId="0" fontId="0" fillId="6" borderId="0" xfId="0" applyFill="1"/>
    <xf numFmtId="0" fontId="4" fillId="0" borderId="0" xfId="0" applyFont="1"/>
    <xf numFmtId="0" fontId="1" fillId="6" borderId="0" xfId="0" applyFont="1" applyFill="1"/>
    <xf numFmtId="0" fontId="1" fillId="7" borderId="0" xfId="0" applyFont="1" applyFill="1"/>
    <xf numFmtId="0" fontId="0" fillId="7" borderId="0" xfId="0" applyFill="1"/>
    <xf numFmtId="0" fontId="0" fillId="7" borderId="0" xfId="0" applyFont="1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2" borderId="0" xfId="0" applyFill="1"/>
    <xf numFmtId="0" fontId="0" fillId="11" borderId="0" xfId="0" applyFill="1" applyAlignment="1">
      <alignment horizontal="right"/>
    </xf>
    <xf numFmtId="0" fontId="0" fillId="10" borderId="0" xfId="0" quotePrefix="1" applyFill="1"/>
    <xf numFmtId="2" fontId="0" fillId="0" borderId="0" xfId="0" applyNumberFormat="1"/>
    <xf numFmtId="0" fontId="0" fillId="13" borderId="0" xfId="0" applyFill="1"/>
    <xf numFmtId="0" fontId="1" fillId="13" borderId="0" xfId="0" applyFont="1" applyFill="1"/>
    <xf numFmtId="2" fontId="0" fillId="0" borderId="0" xfId="0" applyNumberFormat="1" applyFill="1"/>
    <xf numFmtId="0" fontId="0" fillId="13" borderId="0" xfId="0" applyFill="1" applyAlignment="1">
      <alignment horizontal="right"/>
    </xf>
    <xf numFmtId="0" fontId="1" fillId="13" borderId="0" xfId="0" applyFont="1" applyFill="1" applyAlignment="1">
      <alignment horizontal="right"/>
    </xf>
    <xf numFmtId="0" fontId="0" fillId="14" borderId="0" xfId="0" applyFill="1"/>
    <xf numFmtId="0" fontId="0" fillId="6" borderId="0" xfId="0" applyFill="1" applyAlignment="1">
      <alignment horizontal="right"/>
    </xf>
    <xf numFmtId="0" fontId="1" fillId="4" borderId="0" xfId="0" applyFont="1" applyFill="1"/>
    <xf numFmtId="0" fontId="5" fillId="6" borderId="0" xfId="0" applyFont="1" applyFill="1"/>
    <xf numFmtId="0" fontId="5" fillId="0" borderId="0" xfId="0" applyFont="1"/>
    <xf numFmtId="0" fontId="1" fillId="15" borderId="0" xfId="0" applyFont="1" applyFill="1"/>
    <xf numFmtId="0" fontId="0" fillId="15" borderId="0" xfId="0" applyFill="1"/>
    <xf numFmtId="0" fontId="0" fillId="0" borderId="0" xfId="0" quotePrefix="1"/>
    <xf numFmtId="0" fontId="6" fillId="0" borderId="0" xfId="0" applyFont="1"/>
    <xf numFmtId="0" fontId="7" fillId="0" borderId="0" xfId="0" applyFont="1"/>
    <xf numFmtId="0" fontId="6" fillId="4" borderId="0" xfId="0" applyFont="1" applyFill="1"/>
    <xf numFmtId="0" fontId="8" fillId="0" borderId="0" xfId="0" applyFont="1"/>
    <xf numFmtId="0" fontId="0" fillId="16" borderId="0" xfId="0" applyFill="1"/>
    <xf numFmtId="2" fontId="0" fillId="16" borderId="0" xfId="0" applyNumberFormat="1" applyFill="1"/>
    <xf numFmtId="0" fontId="0" fillId="16" borderId="0" xfId="0" quotePrefix="1" applyFill="1"/>
    <xf numFmtId="2" fontId="0" fillId="13" borderId="0" xfId="0" applyNumberFormat="1" applyFill="1"/>
    <xf numFmtId="0" fontId="1" fillId="0" borderId="0" xfId="0" applyFont="1" applyFill="1"/>
    <xf numFmtId="0" fontId="0" fillId="0" borderId="0" xfId="0" applyFill="1"/>
    <xf numFmtId="0" fontId="0" fillId="0" borderId="0" xfId="0" applyFont="1" applyFill="1"/>
    <xf numFmtId="0" fontId="1" fillId="11" borderId="0" xfId="0" applyFont="1" applyFill="1" applyAlignment="1">
      <alignment horizontal="right"/>
    </xf>
    <xf numFmtId="2" fontId="0" fillId="6" borderId="0" xfId="0" applyNumberFormat="1" applyFill="1"/>
    <xf numFmtId="2" fontId="1" fillId="4" borderId="0" xfId="0" applyNumberFormat="1" applyFont="1" applyFill="1"/>
    <xf numFmtId="0" fontId="0" fillId="15" borderId="0" xfId="0" applyFont="1" applyFill="1"/>
    <xf numFmtId="0" fontId="0" fillId="13" borderId="0" xfId="0" applyFont="1" applyFill="1" applyAlignment="1">
      <alignment horizontal="right"/>
    </xf>
    <xf numFmtId="0" fontId="5" fillId="16" borderId="0" xfId="0" applyFont="1" applyFill="1"/>
    <xf numFmtId="0" fontId="5" fillId="13" borderId="0" xfId="0" applyFont="1" applyFill="1"/>
    <xf numFmtId="0" fontId="11" fillId="0" borderId="0" xfId="0" applyFont="1"/>
    <xf numFmtId="2" fontId="1" fillId="13" borderId="0" xfId="0" applyNumberFormat="1" applyFont="1" applyFill="1" applyAlignment="1">
      <alignment horizontal="right"/>
    </xf>
    <xf numFmtId="2" fontId="0" fillId="13" borderId="0" xfId="0" applyNumberFormat="1" applyFill="1" applyAlignment="1">
      <alignment horizontal="right"/>
    </xf>
    <xf numFmtId="2" fontId="1" fillId="13" borderId="0" xfId="0" applyNumberFormat="1" applyFont="1" applyFill="1"/>
    <xf numFmtId="0" fontId="1" fillId="17" borderId="0" xfId="0" applyFont="1" applyFill="1"/>
    <xf numFmtId="0" fontId="0" fillId="17" borderId="0" xfId="0" applyFill="1"/>
    <xf numFmtId="0" fontId="0" fillId="18" borderId="0" xfId="0" applyFill="1"/>
    <xf numFmtId="0" fontId="1" fillId="18" borderId="0" xfId="0" applyFont="1" applyFill="1"/>
    <xf numFmtId="0" fontId="1" fillId="14" borderId="0" xfId="0" applyFont="1" applyFill="1"/>
    <xf numFmtId="0" fontId="1" fillId="6" borderId="0" xfId="0" applyFont="1" applyFill="1" applyAlignment="1">
      <alignment horizontal="right"/>
    </xf>
    <xf numFmtId="0" fontId="1" fillId="19" borderId="0" xfId="0" applyFont="1" applyFill="1"/>
    <xf numFmtId="0" fontId="4" fillId="19" borderId="0" xfId="0" applyFont="1" applyFill="1"/>
    <xf numFmtId="0" fontId="0" fillId="20" borderId="0" xfId="0" applyFill="1"/>
  </cellXfs>
  <cellStyles count="45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001669775388892"/>
          <c:y val="1.2902498298823757E-2"/>
          <c:w val="0.84537642208390429"/>
          <c:h val="0.87182091468415746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SFM!$H$63:$H$340170</c:f>
              <c:numCache>
                <c:formatCode>General</c:formatCode>
                <c:ptCount val="340108"/>
              </c:numCache>
            </c:numRef>
          </c:xVal>
          <c:yVal>
            <c:numRef>
              <c:f>SFM!$I$63:$I$34170</c:f>
              <c:numCache>
                <c:formatCode>General</c:formatCode>
                <c:ptCount val="34108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363728"/>
        <c:axId val="345132752"/>
      </c:scatterChart>
      <c:valAx>
        <c:axId val="155363728"/>
        <c:scaling>
          <c:orientation val="minMax"/>
          <c:max val="5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</a:t>
                </a:r>
              </a:p>
            </c:rich>
          </c:tx>
          <c:layout>
            <c:manualLayout>
              <c:xMode val="edge"/>
              <c:yMode val="edge"/>
              <c:x val="0.53239726856482328"/>
              <c:y val="0.9593758441276485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132752"/>
        <c:crosses val="autoZero"/>
        <c:crossBetween val="midCat"/>
        <c:majorUnit val="10"/>
        <c:minorUnit val="5"/>
      </c:valAx>
      <c:valAx>
        <c:axId val="345132752"/>
        <c:scaling>
          <c:orientation val="minMax"/>
          <c:max val="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</a:t>
                </a:r>
              </a:p>
            </c:rich>
          </c:tx>
          <c:layout>
            <c:manualLayout>
              <c:xMode val="edge"/>
              <c:yMode val="edge"/>
              <c:x val="0"/>
              <c:y val="0.4242613961965975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363728"/>
        <c:crosses val="autoZero"/>
        <c:crossBetween val="midCat"/>
        <c:majorUnit val="10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390985038542107"/>
          <c:y val="7.6850550581482047E-2"/>
          <c:w val="0.8385717479321394"/>
          <c:h val="0.7528344822882993"/>
        </c:manualLayout>
      </c:layout>
      <c:scatterChart>
        <c:scatterStyle val="lineMarker"/>
        <c:varyColors val="0"/>
        <c:ser>
          <c:idx val="0"/>
          <c:order val="0"/>
          <c:spPr>
            <a:ln w="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TRUNCATE!$N$21:$N$20037</c:f>
              <c:numCache>
                <c:formatCode>General</c:formatCode>
                <c:ptCount val="20017"/>
              </c:numCache>
            </c:numRef>
          </c:xVal>
          <c:yVal>
            <c:numRef>
              <c:f>TRUNCATE!$O$21:$O$20037</c:f>
              <c:numCache>
                <c:formatCode>0.00</c:formatCode>
                <c:ptCount val="20017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5132360"/>
        <c:axId val="345134712"/>
      </c:scatterChart>
      <c:valAx>
        <c:axId val="345132360"/>
        <c:scaling>
          <c:orientation val="minMax"/>
          <c:max val="5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134712"/>
        <c:crosses val="autoZero"/>
        <c:crossBetween val="midCat"/>
        <c:majorUnit val="10"/>
        <c:minorUnit val="1"/>
      </c:valAx>
      <c:valAx>
        <c:axId val="345134712"/>
        <c:scaling>
          <c:orientation val="minMax"/>
          <c:max val="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132360"/>
        <c:crosses val="autoZero"/>
        <c:crossBetween val="midCat"/>
        <c:majorUnit val="1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683113610534974"/>
          <c:y val="3.1977915323762089E-2"/>
          <c:w val="0.84181004983267027"/>
          <c:h val="0.87740001993064509"/>
        </c:manualLayout>
      </c:layout>
      <c:scatterChart>
        <c:scatterStyle val="lineMarker"/>
        <c:varyColors val="0"/>
        <c:ser>
          <c:idx val="0"/>
          <c:order val="0"/>
          <c:spPr>
            <a:ln w="0" cap="rnd">
              <a:solidFill>
                <a:schemeClr val="bg1">
                  <a:lumMod val="8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CONNECT!$H$49:$H$26668</c:f>
              <c:numCache>
                <c:formatCode>General</c:formatCode>
                <c:ptCount val="26620"/>
              </c:numCache>
            </c:numRef>
          </c:xVal>
          <c:yVal>
            <c:numRef>
              <c:f>CONNECT!$I$49:$I$26668</c:f>
              <c:numCache>
                <c:formatCode>General</c:formatCode>
                <c:ptCount val="26620"/>
              </c:numCache>
            </c:numRef>
          </c:yVal>
          <c:smooth val="0"/>
        </c:ser>
        <c:ser>
          <c:idx val="7"/>
          <c:order val="1"/>
          <c:spPr>
            <a:ln w="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CONNECT!$V$49:$V$2983</c:f>
              <c:numCache>
                <c:formatCode>General</c:formatCode>
                <c:ptCount val="2935"/>
              </c:numCache>
            </c:numRef>
          </c:xVal>
          <c:yVal>
            <c:numRef>
              <c:f>CONNECT!$W$49:$W$2983</c:f>
              <c:numCache>
                <c:formatCode>General</c:formatCode>
                <c:ptCount val="2935"/>
              </c:numCache>
            </c:numRef>
          </c:yVal>
          <c:smooth val="0"/>
        </c:ser>
        <c:ser>
          <c:idx val="5"/>
          <c:order val="2"/>
          <c:spPr>
            <a:ln w="0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CONNECT!$CI$49:$CI$2370</c:f>
              <c:numCache>
                <c:formatCode>General</c:formatCode>
                <c:ptCount val="2322"/>
              </c:numCache>
            </c:numRef>
          </c:xVal>
          <c:yVal>
            <c:numRef>
              <c:f>CONNECT!$CJ$49:$CJ$2370</c:f>
              <c:numCache>
                <c:formatCode>General</c:formatCode>
                <c:ptCount val="2322"/>
              </c:numCache>
            </c:numRef>
          </c:yVal>
          <c:smooth val="0"/>
        </c:ser>
        <c:ser>
          <c:idx val="8"/>
          <c:order val="3"/>
          <c:spPr>
            <a:ln w="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CONNECT!$AP$49:$AP$494</c:f>
              <c:numCache>
                <c:formatCode>General</c:formatCode>
                <c:ptCount val="446"/>
              </c:numCache>
              <c:extLst xmlns:c15="http://schemas.microsoft.com/office/drawing/2012/chart"/>
            </c:numRef>
          </c:xVal>
          <c:yVal>
            <c:numRef>
              <c:f>CONNECT!$AQ$49:$AQ$494</c:f>
              <c:numCache>
                <c:formatCode>General</c:formatCode>
                <c:ptCount val="446"/>
              </c:numCache>
              <c:extLst xmlns:c15="http://schemas.microsoft.com/office/drawing/2012/chart"/>
            </c:numRef>
          </c:yVal>
          <c:smooth val="0"/>
        </c:ser>
        <c:ser>
          <c:idx val="14"/>
          <c:order val="4"/>
          <c:spPr>
            <a:ln w="222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CONNECT!$CX$49:$CX$731</c:f>
              <c:numCache>
                <c:formatCode>General</c:formatCode>
                <c:ptCount val="683"/>
              </c:numCache>
            </c:numRef>
          </c:xVal>
          <c:yVal>
            <c:numRef>
              <c:f>CONNECT!$CY$49:$CY$731</c:f>
              <c:numCache>
                <c:formatCode>General</c:formatCode>
                <c:ptCount val="683"/>
              </c:numCache>
            </c:numRef>
          </c:yVal>
          <c:smooth val="0"/>
        </c:ser>
        <c:ser>
          <c:idx val="15"/>
          <c:order val="5"/>
          <c:spPr>
            <a:ln w="222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CONNECT!$CX$49:$CX$731</c:f>
              <c:numCache>
                <c:formatCode>General</c:formatCode>
                <c:ptCount val="683"/>
              </c:numCache>
              <c:extLst xmlns:c15="http://schemas.microsoft.com/office/drawing/2012/chart"/>
            </c:numRef>
          </c:xVal>
          <c:yVal>
            <c:numRef>
              <c:f>CONNECT!$CZ$49:$CZ$731</c:f>
              <c:numCache>
                <c:formatCode>General</c:formatCode>
                <c:ptCount val="683"/>
              </c:numCache>
              <c:extLst xmlns:c15="http://schemas.microsoft.com/office/drawing/2012/chart"/>
            </c:numRef>
          </c:yVal>
          <c:smooth val="0"/>
        </c:ser>
        <c:ser>
          <c:idx val="16"/>
          <c:order val="6"/>
          <c:spPr>
            <a:ln w="222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CONNECT!$EQ$49:$EQ$134</c:f>
              <c:numCache>
                <c:formatCode>General</c:formatCode>
                <c:ptCount val="86"/>
              </c:numCache>
              <c:extLst xmlns:c15="http://schemas.microsoft.com/office/drawing/2012/chart"/>
            </c:numRef>
          </c:xVal>
          <c:yVal>
            <c:numRef>
              <c:f>CONNECT!$ER$49:$ER$134</c:f>
              <c:numCache>
                <c:formatCode>General</c:formatCode>
                <c:ptCount val="86"/>
              </c:numCache>
              <c:extLst xmlns:c15="http://schemas.microsoft.com/office/drawing/2012/chart"/>
            </c:numRef>
          </c:yVal>
          <c:smooth val="0"/>
        </c:ser>
        <c:ser>
          <c:idx val="2"/>
          <c:order val="8"/>
          <c:spPr>
            <a:ln w="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CONNECT!$Q$49:$Q$2151</c:f>
              <c:numCache>
                <c:formatCode>General</c:formatCode>
                <c:ptCount val="2103"/>
              </c:numCache>
            </c:numRef>
          </c:xVal>
          <c:yVal>
            <c:numRef>
              <c:f>CONNECT!$R$49:$R$2151</c:f>
              <c:numCache>
                <c:formatCode>General</c:formatCode>
                <c:ptCount val="2103"/>
              </c:numCache>
            </c:numRef>
          </c:yVal>
          <c:smooth val="0"/>
        </c:ser>
        <c:ser>
          <c:idx val="32"/>
          <c:order val="9"/>
          <c:spPr>
            <a:ln w="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CONNECT!$AF$49:$AF$2385</c:f>
              <c:numCache>
                <c:formatCode>General</c:formatCode>
                <c:ptCount val="2337"/>
              </c:numCache>
            </c:numRef>
          </c:xVal>
          <c:yVal>
            <c:numRef>
              <c:f>CONNECT!$AG$49:$AG$2385</c:f>
              <c:numCache>
                <c:formatCode>General</c:formatCode>
                <c:ptCount val="2337"/>
              </c:numCache>
            </c:numRef>
          </c:yVal>
          <c:smooth val="0"/>
        </c:ser>
        <c:ser>
          <c:idx val="34"/>
          <c:order val="10"/>
          <c:spPr>
            <a:ln w="2222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CONNECT!$RI$49:$RI$1892</c:f>
              <c:numCache>
                <c:formatCode>General</c:formatCode>
                <c:ptCount val="1844"/>
              </c:numCache>
            </c:numRef>
          </c:xVal>
          <c:yVal>
            <c:numRef>
              <c:f>CONNECT!$RJ$49:$RJ$1892</c:f>
              <c:numCache>
                <c:formatCode>General</c:formatCode>
                <c:ptCount val="1844"/>
              </c:numCache>
            </c:numRef>
          </c:yVal>
          <c:smooth val="0"/>
        </c:ser>
        <c:ser>
          <c:idx val="36"/>
          <c:order val="11"/>
          <c:spPr>
            <a:ln w="2222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CONNECT!$MD$49:$MD$1232</c:f>
              <c:numCache>
                <c:formatCode>General</c:formatCode>
                <c:ptCount val="1184"/>
              </c:numCache>
            </c:numRef>
          </c:xVal>
          <c:yVal>
            <c:numRef>
              <c:f>CONNECT!$ME$49:$ME$1232</c:f>
              <c:numCache>
                <c:formatCode>General</c:formatCode>
                <c:ptCount val="1184"/>
              </c:numCache>
            </c:numRef>
          </c:yVal>
          <c:smooth val="0"/>
        </c:ser>
        <c:ser>
          <c:idx val="37"/>
          <c:order val="12"/>
          <c:spPr>
            <a:ln w="2222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CONNECT!$IM$49:$IM$1146</c:f>
              <c:numCache>
                <c:formatCode>General</c:formatCode>
                <c:ptCount val="1098"/>
              </c:numCache>
            </c:numRef>
          </c:xVal>
          <c:yVal>
            <c:numRef>
              <c:f>CONNECT!$IN$49:$IN$1146</c:f>
              <c:numCache>
                <c:formatCode>General</c:formatCode>
                <c:ptCount val="1098"/>
              </c:numCache>
            </c:numRef>
          </c:yVal>
          <c:smooth val="0"/>
        </c:ser>
        <c:ser>
          <c:idx val="41"/>
          <c:order val="13"/>
          <c:spPr>
            <a:ln w="2222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CONNECT!$RS$49:$RS$737</c:f>
              <c:numCache>
                <c:formatCode>General</c:formatCode>
                <c:ptCount val="689"/>
              </c:numCache>
            </c:numRef>
          </c:xVal>
          <c:yVal>
            <c:numRef>
              <c:f>CONNECT!$RT$49:$RT$737</c:f>
              <c:numCache>
                <c:formatCode>General</c:formatCode>
                <c:ptCount val="689"/>
              </c:numCache>
            </c:numRef>
          </c:yVal>
          <c:smooth val="0"/>
        </c:ser>
        <c:ser>
          <c:idx val="42"/>
          <c:order val="14"/>
          <c:spPr>
            <a:ln w="2222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CONNECT!$EB$49:$EB$458</c:f>
              <c:numCache>
                <c:formatCode>General</c:formatCode>
                <c:ptCount val="410"/>
              </c:numCache>
            </c:numRef>
          </c:xVal>
          <c:yVal>
            <c:numRef>
              <c:f>CONNECT!$EC$49:$EC$458</c:f>
              <c:numCache>
                <c:formatCode>General</c:formatCode>
                <c:ptCount val="410"/>
              </c:numCache>
            </c:numRef>
          </c:yVal>
          <c:smooth val="0"/>
        </c:ser>
        <c:ser>
          <c:idx val="46"/>
          <c:order val="15"/>
          <c:spPr>
            <a:ln w="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CONNECT!$CD$49:$CD$2197</c:f>
              <c:numCache>
                <c:formatCode>General</c:formatCode>
                <c:ptCount val="2149"/>
              </c:numCache>
            </c:numRef>
          </c:xVal>
          <c:yVal>
            <c:numRef>
              <c:f>CONNECT!$CE$49:$CE$2197</c:f>
              <c:numCache>
                <c:formatCode>General</c:formatCode>
                <c:ptCount val="2149"/>
              </c:numCache>
            </c:numRef>
          </c:yVal>
          <c:smooth val="0"/>
        </c:ser>
        <c:ser>
          <c:idx val="48"/>
          <c:order val="16"/>
          <c:spPr>
            <a:ln w="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CONNECT!$BT$49:$BT$2518</c:f>
              <c:numCache>
                <c:formatCode>General</c:formatCode>
                <c:ptCount val="2470"/>
              </c:numCache>
            </c:numRef>
          </c:xVal>
          <c:yVal>
            <c:numRef>
              <c:f>CONNECT!$BU$49:$BU$2518</c:f>
              <c:numCache>
                <c:formatCode>General</c:formatCode>
                <c:ptCount val="2470"/>
              </c:numCache>
            </c:numRef>
          </c:yVal>
          <c:smooth val="0"/>
        </c:ser>
        <c:ser>
          <c:idx val="52"/>
          <c:order val="17"/>
          <c:spPr>
            <a:ln w="2222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CONNECT!$BE$49:$BE$137</c:f>
              <c:numCache>
                <c:formatCode>General</c:formatCode>
                <c:ptCount val="89"/>
              </c:numCache>
            </c:numRef>
          </c:xVal>
          <c:yVal>
            <c:numRef>
              <c:f>CONNECT!$BG$49:$BG$137</c:f>
              <c:numCache>
                <c:formatCode>General</c:formatCode>
                <c:ptCount val="89"/>
              </c:numCache>
            </c:numRef>
          </c:yVal>
          <c:smooth val="0"/>
        </c:ser>
        <c:ser>
          <c:idx val="53"/>
          <c:order val="18"/>
          <c:spPr>
            <a:ln w="2222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CONNECT!$SH$49:$SH$5847</c:f>
              <c:numCache>
                <c:formatCode>General</c:formatCode>
                <c:ptCount val="5799"/>
              </c:numCache>
            </c:numRef>
          </c:xVal>
          <c:yVal>
            <c:numRef>
              <c:f>CONNECT!$SI$49:$SI$5847</c:f>
              <c:numCache>
                <c:formatCode>General</c:formatCode>
                <c:ptCount val="5799"/>
              </c:numCache>
            </c:numRef>
          </c:yVal>
          <c:smooth val="0"/>
        </c:ser>
        <c:ser>
          <c:idx val="59"/>
          <c:order val="19"/>
          <c:spPr>
            <a:ln w="2222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CONNECT!$EQ$49:$EQ$1008</c:f>
              <c:numCache>
                <c:formatCode>General</c:formatCode>
                <c:ptCount val="960"/>
              </c:numCache>
            </c:numRef>
          </c:xVal>
          <c:yVal>
            <c:numRef>
              <c:f>CONNECT!$ER$49:$ER$1008</c:f>
              <c:numCache>
                <c:formatCode>General</c:formatCode>
                <c:ptCount val="960"/>
              </c:numCache>
            </c:numRef>
          </c:yVal>
          <c:smooth val="0"/>
        </c:ser>
        <c:ser>
          <c:idx val="62"/>
          <c:order val="20"/>
          <c:spPr>
            <a:ln w="222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CONNECT!$QY$49:$QY$1133</c:f>
              <c:numCache>
                <c:formatCode>General</c:formatCode>
                <c:ptCount val="1085"/>
              </c:numCache>
            </c:numRef>
          </c:xVal>
          <c:yVal>
            <c:numRef>
              <c:f>CONNECT!$QZ$49:$QZ$1133</c:f>
              <c:numCache>
                <c:formatCode>General</c:formatCode>
                <c:ptCount val="1085"/>
              </c:numCache>
            </c:numRef>
          </c:yVal>
          <c:smooth val="0"/>
        </c:ser>
        <c:ser>
          <c:idx val="63"/>
          <c:order val="21"/>
          <c:spPr>
            <a:ln w="222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CONNECT!$MX$49:$MX$624</c:f>
              <c:numCache>
                <c:formatCode>General</c:formatCode>
                <c:ptCount val="576"/>
              </c:numCache>
            </c:numRef>
          </c:xVal>
          <c:yVal>
            <c:numRef>
              <c:f>CONNECT!$MY$49:$MY$624</c:f>
              <c:numCache>
                <c:formatCode>General</c:formatCode>
                <c:ptCount val="576"/>
              </c:numCache>
            </c:numRef>
          </c:yVal>
          <c:smooth val="0"/>
        </c:ser>
        <c:ser>
          <c:idx val="64"/>
          <c:order val="22"/>
          <c:spPr>
            <a:ln w="222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CONNECT!$ZA$49:$ZA$637</c:f>
              <c:numCache>
                <c:formatCode>General</c:formatCode>
                <c:ptCount val="589"/>
              </c:numCache>
            </c:numRef>
          </c:xVal>
          <c:yVal>
            <c:numRef>
              <c:f>CONNECT!$ZB$49:$ZB$637</c:f>
              <c:numCache>
                <c:formatCode>General</c:formatCode>
                <c:ptCount val="589"/>
              </c:numCache>
            </c:numRef>
          </c:yVal>
          <c:smooth val="0"/>
        </c:ser>
        <c:ser>
          <c:idx val="65"/>
          <c:order val="23"/>
          <c:spPr>
            <a:ln w="222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CONNECT!$PK$49:$PK$689</c:f>
              <c:numCache>
                <c:formatCode>General</c:formatCode>
                <c:ptCount val="641"/>
              </c:numCache>
            </c:numRef>
          </c:xVal>
          <c:yVal>
            <c:numRef>
              <c:f>CONNECT!$PL$49:$PL$689</c:f>
              <c:numCache>
                <c:formatCode>General</c:formatCode>
                <c:ptCount val="641"/>
              </c:numCache>
            </c:numRef>
          </c:yVal>
          <c:smooth val="0"/>
        </c:ser>
        <c:ser>
          <c:idx val="66"/>
          <c:order val="24"/>
          <c:spPr>
            <a:ln w="222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CONNECT!$WX$49:$WX$565</c:f>
              <c:numCache>
                <c:formatCode>General</c:formatCode>
                <c:ptCount val="517"/>
              </c:numCache>
            </c:numRef>
          </c:xVal>
          <c:yVal>
            <c:numRef>
              <c:f>CONNECT!$WY$49:$WY$565</c:f>
              <c:numCache>
                <c:formatCode>General</c:formatCode>
                <c:ptCount val="517"/>
              </c:numCache>
            </c:numRef>
          </c:yVal>
          <c:smooth val="0"/>
        </c:ser>
        <c:ser>
          <c:idx val="67"/>
          <c:order val="25"/>
          <c:spPr>
            <a:ln w="222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CONNECT!$FK$49:$FK$706</c:f>
              <c:numCache>
                <c:formatCode>General</c:formatCode>
                <c:ptCount val="658"/>
              </c:numCache>
            </c:numRef>
          </c:xVal>
          <c:yVal>
            <c:numRef>
              <c:f>CONNECT!$FL$49:$FL$706</c:f>
              <c:numCache>
                <c:formatCode>General</c:formatCode>
                <c:ptCount val="658"/>
              </c:numCache>
            </c:numRef>
          </c:yVal>
          <c:smooth val="0"/>
        </c:ser>
        <c:ser>
          <c:idx val="3"/>
          <c:order val="26"/>
          <c:spPr>
            <a:ln w="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CONNECT!$L$49:$L$11212</c:f>
              <c:numCache>
                <c:formatCode>General</c:formatCode>
                <c:ptCount val="11164"/>
              </c:numCache>
            </c:numRef>
          </c:xVal>
          <c:yVal>
            <c:numRef>
              <c:f>CONNECT!$M$49:$M$11212</c:f>
              <c:numCache>
                <c:formatCode>General</c:formatCode>
                <c:ptCount val="11164"/>
              </c:numCache>
            </c:numRef>
          </c:yVal>
          <c:smooth val="0"/>
        </c:ser>
        <c:ser>
          <c:idx val="4"/>
          <c:order val="27"/>
          <c:spPr>
            <a:ln w="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CONNECT!$AA$49:$AA$2857</c:f>
              <c:numCache>
                <c:formatCode>General</c:formatCode>
                <c:ptCount val="2809"/>
              </c:numCache>
            </c:numRef>
          </c:xVal>
          <c:yVal>
            <c:numRef>
              <c:f>CONNECT!$AB$49:$AB$2857</c:f>
              <c:numCache>
                <c:formatCode>General</c:formatCode>
                <c:ptCount val="2809"/>
              </c:numCache>
            </c:numRef>
          </c:yVal>
          <c:smooth val="0"/>
        </c:ser>
        <c:ser>
          <c:idx val="6"/>
          <c:order val="28"/>
          <c:spPr>
            <a:ln w="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CONNECT!$AK$49:$AK$2876</c:f>
              <c:numCache>
                <c:formatCode>General</c:formatCode>
                <c:ptCount val="2828"/>
              </c:numCache>
            </c:numRef>
          </c:xVal>
          <c:yVal>
            <c:numRef>
              <c:f>CONNECT!$AL$49:$AL$2876</c:f>
              <c:numCache>
                <c:formatCode>General</c:formatCode>
                <c:ptCount val="2828"/>
              </c:numCache>
            </c:numRef>
          </c:yVal>
          <c:smooth val="0"/>
        </c:ser>
        <c:ser>
          <c:idx val="9"/>
          <c:order val="29"/>
          <c:spPr>
            <a:ln w="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CONNECT!$AU$49:$AU$2610</c:f>
              <c:numCache>
                <c:formatCode>General</c:formatCode>
                <c:ptCount val="2562"/>
              </c:numCache>
            </c:numRef>
          </c:xVal>
          <c:yVal>
            <c:numRef>
              <c:f>CONNECT!$AV$49:$AV$2610</c:f>
              <c:numCache>
                <c:formatCode>General</c:formatCode>
                <c:ptCount val="2562"/>
              </c:numCache>
            </c:numRef>
          </c:yVal>
          <c:smooth val="0"/>
        </c:ser>
        <c:ser>
          <c:idx val="10"/>
          <c:order val="30"/>
          <c:spPr>
            <a:ln w="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CONNECT!$AZ$49:$AZ$2901</c:f>
              <c:numCache>
                <c:formatCode>General</c:formatCode>
                <c:ptCount val="2853"/>
              </c:numCache>
            </c:numRef>
          </c:xVal>
          <c:yVal>
            <c:numRef>
              <c:f>CONNECT!$BA$49:$BA$2901</c:f>
              <c:numCache>
                <c:formatCode>General</c:formatCode>
                <c:ptCount val="2853"/>
              </c:numCache>
            </c:numRef>
          </c:yVal>
          <c:smooth val="0"/>
        </c:ser>
        <c:ser>
          <c:idx val="11"/>
          <c:order val="31"/>
          <c:spPr>
            <a:ln w="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CONNECT!$BE$49:$BE$2399</c:f>
              <c:numCache>
                <c:formatCode>General</c:formatCode>
                <c:ptCount val="2351"/>
              </c:numCache>
            </c:numRef>
          </c:xVal>
          <c:yVal>
            <c:numRef>
              <c:f>CONNECT!$BF$49:$BF$2399</c:f>
              <c:numCache>
                <c:formatCode>General</c:formatCode>
                <c:ptCount val="2351"/>
              </c:numCache>
            </c:numRef>
          </c:yVal>
          <c:smooth val="0"/>
        </c:ser>
        <c:ser>
          <c:idx val="12"/>
          <c:order val="32"/>
          <c:spPr>
            <a:ln w="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CONNECT!$BJ$49:$BJ$2774</c:f>
              <c:numCache>
                <c:formatCode>General</c:formatCode>
                <c:ptCount val="2726"/>
              </c:numCache>
            </c:numRef>
          </c:xVal>
          <c:yVal>
            <c:numRef>
              <c:f>CONNECT!$BK$49:$BK$2774</c:f>
              <c:numCache>
                <c:formatCode>General</c:formatCode>
                <c:ptCount val="2726"/>
              </c:numCache>
            </c:numRef>
          </c:yVal>
          <c:smooth val="0"/>
        </c:ser>
        <c:ser>
          <c:idx val="13"/>
          <c:order val="33"/>
          <c:spPr>
            <a:ln w="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CONNECT!$BO$49:$BO$2824</c:f>
              <c:numCache>
                <c:formatCode>General</c:formatCode>
                <c:ptCount val="2776"/>
              </c:numCache>
            </c:numRef>
          </c:xVal>
          <c:yVal>
            <c:numRef>
              <c:f>CONNECT!$BP$49:$BP$2824</c:f>
              <c:numCache>
                <c:formatCode>General</c:formatCode>
                <c:ptCount val="2776"/>
              </c:numCache>
            </c:numRef>
          </c:yVal>
          <c:smooth val="0"/>
        </c:ser>
        <c:ser>
          <c:idx val="17"/>
          <c:order val="34"/>
          <c:spPr>
            <a:ln w="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CONNECT!$BY$49:$BY$2763</c:f>
              <c:numCache>
                <c:formatCode>General</c:formatCode>
                <c:ptCount val="2715"/>
              </c:numCache>
            </c:numRef>
          </c:xVal>
          <c:yVal>
            <c:numRef>
              <c:f>CONNECT!$BZ$49:$BZ$2763</c:f>
              <c:numCache>
                <c:formatCode>General</c:formatCode>
                <c:ptCount val="2715"/>
              </c:numCache>
            </c:numRef>
          </c:yVal>
          <c:smooth val="0"/>
        </c:ser>
        <c:ser>
          <c:idx val="18"/>
          <c:order val="35"/>
          <c:spPr>
            <a:ln w="2222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CONNECT!$GE$49:$GE$625</c:f>
              <c:numCache>
                <c:formatCode>General</c:formatCode>
                <c:ptCount val="577"/>
              </c:numCache>
            </c:numRef>
          </c:xVal>
          <c:yVal>
            <c:numRef>
              <c:f>CONNECT!$GF$49:$GF$625</c:f>
              <c:numCache>
                <c:formatCode>General</c:formatCode>
                <c:ptCount val="577"/>
              </c:numCache>
            </c:numRef>
          </c:yVal>
          <c:smooth val="0"/>
        </c:ser>
        <c:ser>
          <c:idx val="19"/>
          <c:order val="36"/>
          <c:spPr>
            <a:ln w="2222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CONNECT!$DC$49:$DC$592</c:f>
              <c:numCache>
                <c:formatCode>General</c:formatCode>
                <c:ptCount val="544"/>
              </c:numCache>
            </c:numRef>
          </c:xVal>
          <c:yVal>
            <c:numRef>
              <c:f>CONNECT!$DD$49:$DD$592</c:f>
              <c:numCache>
                <c:formatCode>General</c:formatCode>
                <c:ptCount val="544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5135888"/>
        <c:axId val="345136280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7"/>
                <c:tx>
                  <c:strRef>
                    <c:extLst>
                      <c:ext uri="{02D57815-91ED-43cb-92C2-25804820EDAC}">
                        <c15:formulaRef>
                          <c15:sqref>CONNECT!$AX$17:$AX$46</c15:sqref>
                        </c15:formulaRef>
                      </c:ext>
                    </c:extLst>
                    <c:strCache>
                      <c:ptCount val="30"/>
                      <c:pt idx="29">
                        <c:v>BUNDLES</c:v>
                      </c:pt>
                    </c:strCache>
                  </c:strRef>
                </c:tx>
                <c:spPr>
                  <a:ln w="2222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strRef>
                    <c:extLst>
                      <c:ext uri="{02D57815-91ED-43cb-92C2-25804820EDAC}">
                        <c15:formulaRef>
                          <c15:sqref>CONNECT!$AW$47:$AW$117</c15:sqref>
                        </c15:formulaRef>
                      </c:ext>
                    </c:extLst>
                    <c:strCache>
                      <c:ptCount val="1"/>
                      <c:pt idx="0">
                        <c:v>INDEX</c:v>
                      </c:pt>
                    </c:strCache>
                  </c:strRef>
                </c:xVal>
                <c:yVal>
                  <c:numRef>
                    <c:extLst>
                      <c:ext uri="{02D57815-91ED-43cb-92C2-25804820EDAC}">
                        <c15:formulaRef>
                          <c15:sqref>CONNECT!$AX$47:$AX$117</c15:sqref>
                        </c15:formulaRef>
                      </c:ext>
                    </c:extLst>
                    <c:numCache>
                      <c:formatCode>General</c:formatCode>
                      <c:ptCount val="71"/>
                    </c:numCache>
                  </c:numRef>
                </c:yVal>
                <c:smooth val="0"/>
              </c15:ser>
            </c15:filteredScatterSeries>
          </c:ext>
        </c:extLst>
      </c:scatterChart>
      <c:valAx>
        <c:axId val="345135888"/>
        <c:scaling>
          <c:orientation val="minMax"/>
          <c:max val="5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none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136280"/>
        <c:crosses val="autoZero"/>
        <c:crossBetween val="midCat"/>
        <c:majorUnit val="10"/>
        <c:minorUnit val="2"/>
      </c:valAx>
      <c:valAx>
        <c:axId val="345136280"/>
        <c:scaling>
          <c:orientation val="minMax"/>
          <c:max val="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none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135888"/>
        <c:crosses val="autoZero"/>
        <c:crossBetween val="midCat"/>
        <c:majorUnit val="10"/>
        <c:minorUnit val="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FFN area </a:t>
            </a:r>
          </a:p>
        </c:rich>
      </c:tx>
      <c:layout>
        <c:manualLayout>
          <c:xMode val="edge"/>
          <c:yMode val="edge"/>
          <c:x val="0.47202777777777777"/>
          <c:y val="6.94444444444444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1291426071741032"/>
          <c:y val="0.17171296296296296"/>
          <c:w val="0.75443110236220468"/>
          <c:h val="0.6097765383493729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Hullcomp!$I$5:$I$146</c:f>
              <c:numCache>
                <c:formatCode>General</c:formatCode>
                <c:ptCount val="142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81010256"/>
        <c:axId val="381012216"/>
      </c:barChart>
      <c:catAx>
        <c:axId val="38101025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012216"/>
        <c:crosses val="autoZero"/>
        <c:auto val="1"/>
        <c:lblAlgn val="ctr"/>
        <c:lblOffset val="100"/>
        <c:noMultiLvlLbl val="0"/>
      </c:catAx>
      <c:valAx>
        <c:axId val="381012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010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376050</xdr:colOff>
      <xdr:row>3</xdr:row>
      <xdr:rowOff>32239</xdr:rowOff>
    </xdr:from>
    <xdr:to>
      <xdr:col>3</xdr:col>
      <xdr:colOff>161739</xdr:colOff>
      <xdr:row>5</xdr:row>
      <xdr:rowOff>157053</xdr:rowOff>
    </xdr:to>
    <xdr:sp macro="[0]!sfm" textlink="">
      <xdr:nvSpPr>
        <xdr:cNvPr id="4" name="Rectangle 3"/>
        <xdr:cNvSpPr/>
      </xdr:nvSpPr>
      <xdr:spPr>
        <a:xfrm>
          <a:off x="964674" y="513840"/>
          <a:ext cx="962936" cy="445882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15</xdr:col>
      <xdr:colOff>123434</xdr:colOff>
      <xdr:row>19</xdr:row>
      <xdr:rowOff>46038</xdr:rowOff>
    </xdr:from>
    <xdr:to>
      <xdr:col>23</xdr:col>
      <xdr:colOff>126456</xdr:colOff>
      <xdr:row>47</xdr:row>
      <xdr:rowOff>46037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449495</xdr:colOff>
      <xdr:row>3</xdr:row>
      <xdr:rowOff>21405</xdr:rowOff>
    </xdr:from>
    <xdr:to>
      <xdr:col>7</xdr:col>
      <xdr:colOff>460197</xdr:colOff>
      <xdr:row>6</xdr:row>
      <xdr:rowOff>0</xdr:rowOff>
    </xdr:to>
    <xdr:sp macro="[0]!eraser" textlink="">
      <xdr:nvSpPr>
        <xdr:cNvPr id="5" name="Rectangle 4"/>
        <xdr:cNvSpPr/>
      </xdr:nvSpPr>
      <xdr:spPr>
        <a:xfrm>
          <a:off x="2803989" y="503006"/>
          <a:ext cx="1776573" cy="460196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9524</xdr:colOff>
      <xdr:row>1</xdr:row>
      <xdr:rowOff>123825</xdr:rowOff>
    </xdr:from>
    <xdr:to>
      <xdr:col>4</xdr:col>
      <xdr:colOff>133349</xdr:colOff>
      <xdr:row>3</xdr:row>
      <xdr:rowOff>9525</xdr:rowOff>
    </xdr:to>
    <xdr:sp macro="[0]!truncate" textlink="">
      <xdr:nvSpPr>
        <xdr:cNvPr id="3" name="Rectangle 2"/>
        <xdr:cNvSpPr/>
      </xdr:nvSpPr>
      <xdr:spPr>
        <a:xfrm>
          <a:off x="1781174" y="285750"/>
          <a:ext cx="714375" cy="2095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438150</xdr:colOff>
      <xdr:row>1</xdr:row>
      <xdr:rowOff>100012</xdr:rowOff>
    </xdr:from>
    <xdr:to>
      <xdr:col>35</xdr:col>
      <xdr:colOff>266700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920393</xdr:colOff>
      <xdr:row>35</xdr:row>
      <xdr:rowOff>149831</xdr:rowOff>
    </xdr:from>
    <xdr:to>
      <xdr:col>3</xdr:col>
      <xdr:colOff>21405</xdr:colOff>
      <xdr:row>37</xdr:row>
      <xdr:rowOff>32107</xdr:rowOff>
    </xdr:to>
    <xdr:sp macro="[0]!connectivity" textlink="">
      <xdr:nvSpPr>
        <xdr:cNvPr id="2" name="Rectangle 1"/>
        <xdr:cNvSpPr/>
      </xdr:nvSpPr>
      <xdr:spPr>
        <a:xfrm>
          <a:off x="1510943" y="149831"/>
          <a:ext cx="1120312" cy="206126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303240</xdr:colOff>
      <xdr:row>8</xdr:row>
      <xdr:rowOff>149864</xdr:rowOff>
    </xdr:from>
    <xdr:to>
      <xdr:col>14</xdr:col>
      <xdr:colOff>316974</xdr:colOff>
      <xdr:row>36</xdr:row>
      <xdr:rowOff>38285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587375</xdr:colOff>
      <xdr:row>0</xdr:row>
      <xdr:rowOff>136525</xdr:rowOff>
    </xdr:from>
    <xdr:to>
      <xdr:col>2</xdr:col>
      <xdr:colOff>53975</xdr:colOff>
      <xdr:row>2</xdr:row>
      <xdr:rowOff>69850</xdr:rowOff>
    </xdr:to>
    <xdr:sp macro="[0]!hull" textlink="">
      <xdr:nvSpPr>
        <xdr:cNvPr id="3" name="Rectangle 2"/>
        <xdr:cNvSpPr/>
      </xdr:nvSpPr>
      <xdr:spPr>
        <a:xfrm>
          <a:off x="587375" y="136525"/>
          <a:ext cx="660400" cy="263525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362158</xdr:colOff>
      <xdr:row>2</xdr:row>
      <xdr:rowOff>140885</xdr:rowOff>
    </xdr:from>
    <xdr:to>
      <xdr:col>29</xdr:col>
      <xdr:colOff>77455</xdr:colOff>
      <xdr:row>20</xdr:row>
      <xdr:rowOff>57986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491950</xdr:colOff>
      <xdr:row>0</xdr:row>
      <xdr:rowOff>83736</xdr:rowOff>
    </xdr:from>
    <xdr:to>
      <xdr:col>3</xdr:col>
      <xdr:colOff>345412</xdr:colOff>
      <xdr:row>2</xdr:row>
      <xdr:rowOff>125604</xdr:rowOff>
    </xdr:to>
    <xdr:sp macro="[0]!Hullcomp" textlink="">
      <xdr:nvSpPr>
        <xdr:cNvPr id="3" name="Rectangle 2"/>
        <xdr:cNvSpPr/>
      </xdr:nvSpPr>
      <xdr:spPr>
        <a:xfrm>
          <a:off x="1099038" y="83736"/>
          <a:ext cx="1067638" cy="355879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3" tint="0.59999389629810485"/>
  </sheetPr>
  <dimension ref="A5:AH63"/>
  <sheetViews>
    <sheetView tabSelected="1" zoomScale="89" zoomScaleNormal="89" workbookViewId="0">
      <selection activeCell="N24" sqref="N24"/>
    </sheetView>
  </sheetViews>
  <sheetFormatPr defaultColWidth="8.85546875" defaultRowHeight="12.75" x14ac:dyDescent="0.2"/>
  <cols>
    <col min="4" max="4" width="8.85546875" customWidth="1"/>
  </cols>
  <sheetData>
    <row r="5" spans="1:22" x14ac:dyDescent="0.2">
      <c r="C5" t="s">
        <v>108</v>
      </c>
      <c r="F5" t="s">
        <v>182</v>
      </c>
    </row>
    <row r="8" spans="1:22" x14ac:dyDescent="0.2">
      <c r="B8" t="s">
        <v>13</v>
      </c>
      <c r="N8" t="s">
        <v>189</v>
      </c>
      <c r="V8" s="30"/>
    </row>
    <row r="9" spans="1:22" x14ac:dyDescent="0.2">
      <c r="B9" t="s">
        <v>183</v>
      </c>
      <c r="N9" t="s">
        <v>184</v>
      </c>
      <c r="V9" s="30"/>
    </row>
    <row r="10" spans="1:22" x14ac:dyDescent="0.2">
      <c r="B10" t="s">
        <v>18</v>
      </c>
    </row>
    <row r="11" spans="1:22" x14ac:dyDescent="0.2">
      <c r="N11" s="62" t="s">
        <v>175</v>
      </c>
      <c r="O11">
        <f>E23</f>
        <v>2</v>
      </c>
      <c r="P11" s="4" t="s">
        <v>52</v>
      </c>
      <c r="V11" s="30"/>
    </row>
    <row r="12" spans="1:22" x14ac:dyDescent="0.2">
      <c r="N12" s="28" t="s">
        <v>178</v>
      </c>
      <c r="O12" s="20">
        <f>E25</f>
        <v>1.2</v>
      </c>
      <c r="P12" s="4" t="s">
        <v>52</v>
      </c>
    </row>
    <row r="13" spans="1:22" ht="15" x14ac:dyDescent="0.25">
      <c r="D13" s="4" t="s">
        <v>181</v>
      </c>
      <c r="N13" s="63" t="s">
        <v>174</v>
      </c>
      <c r="O13">
        <f>(2*Lav-cmin)/(Lav-cmin)</f>
        <v>3.4999999999999996</v>
      </c>
      <c r="V13" s="30"/>
    </row>
    <row r="14" spans="1:22" x14ac:dyDescent="0.2">
      <c r="N14" s="28" t="s">
        <v>176</v>
      </c>
      <c r="O14">
        <f>(n-1)/(cmin^(1-n))</f>
        <v>3.943602414037195</v>
      </c>
    </row>
    <row r="15" spans="1:22" x14ac:dyDescent="0.2">
      <c r="N15" s="62" t="s">
        <v>177</v>
      </c>
      <c r="O15">
        <f>(cmin/(n-2))^2*((n-1)/(n-3))</f>
        <v>3.2000000000000033</v>
      </c>
      <c r="P15" s="4" t="s">
        <v>52</v>
      </c>
    </row>
    <row r="16" spans="1:22" x14ac:dyDescent="0.2">
      <c r="A16" s="29" t="s">
        <v>69</v>
      </c>
      <c r="B16" s="8"/>
      <c r="C16" s="8"/>
      <c r="D16" s="8"/>
      <c r="E16">
        <v>10</v>
      </c>
      <c r="F16" s="7" t="s">
        <v>14</v>
      </c>
      <c r="N16" s="28" t="s">
        <v>46</v>
      </c>
      <c r="O16">
        <f>var^0.5</f>
        <v>1.7888543819998326</v>
      </c>
      <c r="P16" s="4" t="s">
        <v>52</v>
      </c>
    </row>
    <row r="17" spans="1:17" x14ac:dyDescent="0.2">
      <c r="A17" s="8" t="s">
        <v>37</v>
      </c>
      <c r="B17" s="8"/>
      <c r="C17" s="8"/>
      <c r="D17" s="8"/>
      <c r="E17">
        <v>5</v>
      </c>
      <c r="F17" s="7" t="s">
        <v>14</v>
      </c>
    </row>
    <row r="18" spans="1:17" x14ac:dyDescent="0.2">
      <c r="A18" t="s">
        <v>38</v>
      </c>
      <c r="E18">
        <v>5</v>
      </c>
      <c r="F18" s="7" t="s">
        <v>14</v>
      </c>
    </row>
    <row r="19" spans="1:17" x14ac:dyDescent="0.2">
      <c r="A19" s="8" t="s">
        <v>15</v>
      </c>
      <c r="B19" s="8"/>
      <c r="C19" s="8"/>
      <c r="D19" s="8"/>
      <c r="E19">
        <v>1</v>
      </c>
      <c r="F19" s="7" t="s">
        <v>14</v>
      </c>
    </row>
    <row r="20" spans="1:17" x14ac:dyDescent="0.2">
      <c r="P20" s="30"/>
    </row>
    <row r="21" spans="1:17" x14ac:dyDescent="0.2">
      <c r="E21" s="27" t="s">
        <v>16</v>
      </c>
      <c r="F21" s="27" t="s">
        <v>17</v>
      </c>
      <c r="G21" s="61" t="s">
        <v>173</v>
      </c>
      <c r="H21" s="27"/>
      <c r="I21" s="27"/>
    </row>
    <row r="22" spans="1:17" x14ac:dyDescent="0.2">
      <c r="A22" s="29" t="s">
        <v>70</v>
      </c>
      <c r="B22" s="8"/>
      <c r="C22" s="8"/>
      <c r="D22" s="8"/>
      <c r="E22" s="30">
        <v>2</v>
      </c>
      <c r="F22" s="30">
        <v>1.9</v>
      </c>
      <c r="G22" s="30">
        <v>1.9</v>
      </c>
      <c r="K22" s="7" t="s">
        <v>14</v>
      </c>
    </row>
    <row r="23" spans="1:17" x14ac:dyDescent="0.2">
      <c r="A23" s="29" t="s">
        <v>71</v>
      </c>
      <c r="B23" s="8"/>
      <c r="C23" s="8"/>
      <c r="D23" s="8"/>
      <c r="E23">
        <v>2</v>
      </c>
      <c r="F23">
        <v>2</v>
      </c>
      <c r="G23">
        <v>2</v>
      </c>
      <c r="K23" s="7" t="s">
        <v>14</v>
      </c>
      <c r="Q23" s="4"/>
    </row>
    <row r="24" spans="1:17" ht="15" x14ac:dyDescent="0.25">
      <c r="A24" s="10" t="s">
        <v>51</v>
      </c>
      <c r="B24" s="8"/>
      <c r="C24" s="8"/>
      <c r="D24" s="8"/>
      <c r="E24">
        <v>1</v>
      </c>
      <c r="F24">
        <v>1</v>
      </c>
      <c r="G24">
        <v>1</v>
      </c>
      <c r="K24" s="7" t="s">
        <v>14</v>
      </c>
      <c r="P24" s="9"/>
      <c r="Q24" s="9"/>
    </row>
    <row r="25" spans="1:17" x14ac:dyDescent="0.2">
      <c r="A25" s="10" t="s">
        <v>19</v>
      </c>
      <c r="B25" s="8"/>
      <c r="C25" s="8"/>
      <c r="D25" s="8"/>
      <c r="E25" s="20">
        <v>1.2</v>
      </c>
      <c r="F25" s="4">
        <v>1.4</v>
      </c>
      <c r="G25" s="4">
        <v>2</v>
      </c>
      <c r="H25" s="4"/>
      <c r="I25" s="4"/>
      <c r="K25" s="7" t="s">
        <v>14</v>
      </c>
    </row>
    <row r="26" spans="1:17" ht="15" x14ac:dyDescent="0.25">
      <c r="A26" s="10" t="s">
        <v>20</v>
      </c>
      <c r="B26" s="8"/>
      <c r="C26" s="8"/>
      <c r="D26" s="8"/>
      <c r="E26">
        <v>1</v>
      </c>
      <c r="F26" s="9">
        <v>1</v>
      </c>
      <c r="G26" s="9">
        <v>2</v>
      </c>
      <c r="H26" s="9"/>
      <c r="I26" s="9"/>
      <c r="K26" s="7" t="s">
        <v>14</v>
      </c>
    </row>
    <row r="27" spans="1:17" x14ac:dyDescent="0.2">
      <c r="A27" s="8" t="s">
        <v>35</v>
      </c>
      <c r="B27" s="8"/>
      <c r="C27" s="8"/>
      <c r="D27" s="8"/>
      <c r="E27">
        <v>75</v>
      </c>
      <c r="F27">
        <v>130</v>
      </c>
      <c r="G27" s="4">
        <v>10</v>
      </c>
      <c r="H27" s="4">
        <f>F27-E27</f>
        <v>55</v>
      </c>
      <c r="I27" s="4"/>
      <c r="K27" s="7" t="s">
        <v>14</v>
      </c>
    </row>
    <row r="28" spans="1:17" x14ac:dyDescent="0.2">
      <c r="A28" s="10" t="s">
        <v>36</v>
      </c>
      <c r="B28" s="8"/>
      <c r="C28" s="8"/>
      <c r="D28" s="8"/>
      <c r="E28">
        <v>30</v>
      </c>
      <c r="F28">
        <v>5</v>
      </c>
      <c r="G28" s="4">
        <v>5</v>
      </c>
      <c r="H28" s="4"/>
      <c r="I28" s="4"/>
      <c r="K28" s="7" t="s">
        <v>14</v>
      </c>
    </row>
    <row r="29" spans="1:17" x14ac:dyDescent="0.2">
      <c r="A29" s="31" t="s">
        <v>80</v>
      </c>
      <c r="B29" s="32"/>
      <c r="C29" s="32"/>
      <c r="D29" s="32"/>
      <c r="E29">
        <v>0</v>
      </c>
      <c r="F29">
        <v>0</v>
      </c>
      <c r="G29" s="4"/>
      <c r="H29" s="4"/>
      <c r="K29" s="7" t="s">
        <v>14</v>
      </c>
    </row>
    <row r="30" spans="1:17" x14ac:dyDescent="0.2">
      <c r="A30" s="31" t="s">
        <v>67</v>
      </c>
      <c r="B30" s="32"/>
      <c r="C30" s="32"/>
      <c r="D30" s="32"/>
      <c r="E30">
        <v>0</v>
      </c>
      <c r="F30">
        <v>0</v>
      </c>
      <c r="G30" s="4"/>
      <c r="K30" s="7" t="s">
        <v>14</v>
      </c>
      <c r="N30" s="4"/>
    </row>
    <row r="31" spans="1:17" x14ac:dyDescent="0.2">
      <c r="A31" s="31" t="s">
        <v>68</v>
      </c>
      <c r="B31" s="32"/>
      <c r="C31" s="32"/>
      <c r="D31" s="32"/>
      <c r="E31">
        <v>0</v>
      </c>
      <c r="F31">
        <v>0</v>
      </c>
      <c r="G31" s="4"/>
      <c r="K31" s="7" t="s">
        <v>14</v>
      </c>
      <c r="N31" s="4"/>
    </row>
    <row r="32" spans="1:17" x14ac:dyDescent="0.2">
      <c r="A32" s="31" t="s">
        <v>72</v>
      </c>
      <c r="B32" s="32"/>
      <c r="C32" s="32"/>
      <c r="D32" s="32"/>
      <c r="E32">
        <v>0</v>
      </c>
      <c r="F32">
        <v>0</v>
      </c>
      <c r="G32" s="4"/>
      <c r="K32" s="7" t="s">
        <v>14</v>
      </c>
    </row>
    <row r="33" spans="1:34" x14ac:dyDescent="0.2">
      <c r="A33" s="31" t="s">
        <v>66</v>
      </c>
      <c r="B33" s="32"/>
      <c r="C33" s="32"/>
      <c r="D33" s="32"/>
      <c r="E33" s="35">
        <v>0</v>
      </c>
      <c r="F33" s="35">
        <v>0</v>
      </c>
      <c r="G33" s="35"/>
      <c r="K33" s="7" t="s">
        <v>14</v>
      </c>
      <c r="L33" s="37"/>
      <c r="M33" s="37"/>
      <c r="N33" s="37"/>
      <c r="O33" s="37"/>
      <c r="P33" s="37"/>
      <c r="AF33" s="4"/>
    </row>
    <row r="34" spans="1:34" x14ac:dyDescent="0.2">
      <c r="A34" s="31" t="s">
        <v>76</v>
      </c>
      <c r="B34" s="32"/>
      <c r="C34" s="32"/>
      <c r="D34" s="32"/>
      <c r="E34" s="35">
        <v>0</v>
      </c>
      <c r="F34" s="35">
        <v>0</v>
      </c>
      <c r="G34" s="35"/>
      <c r="K34" s="7" t="s">
        <v>14</v>
      </c>
      <c r="L34" s="37"/>
      <c r="M34" s="37"/>
      <c r="N34" s="37"/>
      <c r="O34" s="37"/>
      <c r="P34" s="37"/>
      <c r="AF34" s="4"/>
      <c r="AH34" s="4"/>
    </row>
    <row r="35" spans="1:34" x14ac:dyDescent="0.2">
      <c r="A35" s="31"/>
      <c r="N35" s="4"/>
    </row>
    <row r="36" spans="1:34" x14ac:dyDescent="0.2">
      <c r="A36" s="22" t="s">
        <v>75</v>
      </c>
      <c r="B36" s="21"/>
      <c r="C36" s="21"/>
      <c r="D36" s="21"/>
      <c r="E36" s="34">
        <f>$E$16*$E$16*E22/E23</f>
        <v>100</v>
      </c>
      <c r="F36" s="34">
        <f>$E$16*$E$16*F22/F23</f>
        <v>95</v>
      </c>
      <c r="G36" s="34">
        <f>$E$16*$E$16*G22/G23</f>
        <v>95</v>
      </c>
      <c r="K36" s="36"/>
      <c r="L36" s="6"/>
      <c r="N36" s="4"/>
      <c r="O36" s="4"/>
      <c r="AF36" s="4"/>
      <c r="AH36" s="4"/>
    </row>
    <row r="37" spans="1:34" x14ac:dyDescent="0.2">
      <c r="A37" s="22" t="s">
        <v>73</v>
      </c>
      <c r="B37" s="21"/>
      <c r="C37" s="21"/>
      <c r="D37" s="21"/>
      <c r="E37" s="4">
        <f>E36*$E$17*$E$18</f>
        <v>2500</v>
      </c>
      <c r="F37" s="4">
        <f t="shared" ref="F37:G37" si="0">F36*$E$17*$E$18</f>
        <v>2375</v>
      </c>
      <c r="G37" s="4">
        <f t="shared" si="0"/>
        <v>2375</v>
      </c>
      <c r="I37">
        <f>SUM(E37:G37)</f>
        <v>7250</v>
      </c>
    </row>
    <row r="38" spans="1:34" x14ac:dyDescent="0.2">
      <c r="A38" s="22" t="s">
        <v>74</v>
      </c>
      <c r="B38" s="21"/>
      <c r="C38" s="21"/>
      <c r="D38" s="21"/>
      <c r="L38" s="37"/>
    </row>
    <row r="39" spans="1:34" x14ac:dyDescent="0.2">
      <c r="E39" s="33"/>
      <c r="L39" s="37"/>
    </row>
    <row r="40" spans="1:34" x14ac:dyDescent="0.2">
      <c r="A40" s="22" t="s">
        <v>78</v>
      </c>
      <c r="B40" s="21"/>
      <c r="C40" s="21"/>
      <c r="D40" s="21"/>
      <c r="K40" s="7"/>
    </row>
    <row r="41" spans="1:34" x14ac:dyDescent="0.2">
      <c r="A41" s="22" t="s">
        <v>79</v>
      </c>
      <c r="B41" s="21"/>
      <c r="C41" s="21"/>
      <c r="D41" s="21"/>
      <c r="K41" s="7"/>
    </row>
    <row r="42" spans="1:34" x14ac:dyDescent="0.2">
      <c r="A42" s="22" t="s">
        <v>77</v>
      </c>
      <c r="B42" s="21"/>
      <c r="C42" s="21"/>
      <c r="D42" s="21"/>
      <c r="E42" s="20"/>
      <c r="L42" s="37"/>
    </row>
    <row r="43" spans="1:34" x14ac:dyDescent="0.2">
      <c r="A43" s="22" t="s">
        <v>82</v>
      </c>
      <c r="B43" s="21"/>
      <c r="C43" s="21"/>
      <c r="D43" s="21"/>
      <c r="E43" s="20"/>
    </row>
    <row r="44" spans="1:34" x14ac:dyDescent="0.2">
      <c r="A44" s="22" t="s">
        <v>81</v>
      </c>
      <c r="B44" s="21"/>
      <c r="C44" s="21"/>
      <c r="D44" s="21"/>
      <c r="E44" s="20"/>
    </row>
    <row r="45" spans="1:34" x14ac:dyDescent="0.2">
      <c r="A45" s="22"/>
      <c r="B45" s="21"/>
      <c r="C45" s="21"/>
      <c r="D45" s="21"/>
      <c r="E45" s="20"/>
      <c r="T45" s="30"/>
    </row>
    <row r="46" spans="1:34" x14ac:dyDescent="0.2">
      <c r="E46" s="20"/>
    </row>
    <row r="47" spans="1:34" x14ac:dyDescent="0.2">
      <c r="A47" s="31" t="s">
        <v>84</v>
      </c>
      <c r="E47" s="20"/>
    </row>
    <row r="48" spans="1:34" x14ac:dyDescent="0.2">
      <c r="A48" s="48" t="s">
        <v>107</v>
      </c>
      <c r="E48" s="20"/>
    </row>
    <row r="49" spans="1:12" x14ac:dyDescent="0.2">
      <c r="E49" s="20"/>
    </row>
    <row r="50" spans="1:12" x14ac:dyDescent="0.2">
      <c r="A50" s="50" t="s">
        <v>120</v>
      </c>
      <c r="B50" s="38"/>
      <c r="C50" s="38"/>
      <c r="D50" s="38"/>
      <c r="E50" s="39">
        <v>3.5000002384185791</v>
      </c>
      <c r="F50">
        <v>4.3333330154418945</v>
      </c>
      <c r="G50" t="s">
        <v>122</v>
      </c>
      <c r="K50" s="40"/>
    </row>
    <row r="51" spans="1:12" x14ac:dyDescent="0.2">
      <c r="A51" s="50" t="s">
        <v>119</v>
      </c>
      <c r="B51" s="38"/>
      <c r="C51" s="38"/>
      <c r="D51" s="38"/>
      <c r="E51" s="39">
        <v>3.1999979019165039</v>
      </c>
      <c r="F51">
        <v>0.90000033378601074</v>
      </c>
      <c r="G51" t="s">
        <v>122</v>
      </c>
      <c r="K51" s="40"/>
    </row>
    <row r="52" spans="1:12" x14ac:dyDescent="0.2">
      <c r="A52" s="50" t="s">
        <v>115</v>
      </c>
      <c r="B52" s="38"/>
      <c r="C52" s="38"/>
      <c r="D52" s="38"/>
      <c r="E52" s="39">
        <v>1.7888537955675707</v>
      </c>
      <c r="F52">
        <v>0.9486834739711717</v>
      </c>
      <c r="G52" t="s">
        <v>122</v>
      </c>
      <c r="K52" s="40"/>
    </row>
    <row r="53" spans="1:12" x14ac:dyDescent="0.2">
      <c r="A53" s="30" t="s">
        <v>116</v>
      </c>
      <c r="E53" s="20">
        <v>2.009003089755979</v>
      </c>
      <c r="F53">
        <v>2.0115507101889545</v>
      </c>
      <c r="G53">
        <v>2.0001719394095656</v>
      </c>
      <c r="K53" s="40"/>
    </row>
    <row r="54" spans="1:12" x14ac:dyDescent="0.2">
      <c r="A54" s="30" t="s">
        <v>117</v>
      </c>
      <c r="E54" s="41">
        <v>1.8439221049517842</v>
      </c>
      <c r="F54">
        <v>0.83858572785011898</v>
      </c>
      <c r="G54">
        <v>0.9364803974161503</v>
      </c>
      <c r="K54" s="40"/>
    </row>
    <row r="55" spans="1:12" x14ac:dyDescent="0.2">
      <c r="A55" s="51" t="s">
        <v>118</v>
      </c>
      <c r="B55" s="21"/>
      <c r="C55" s="21"/>
      <c r="D55" s="21"/>
      <c r="E55" s="41">
        <v>1.3579109907150269</v>
      </c>
      <c r="F55">
        <v>0.91574329137802124</v>
      </c>
      <c r="G55">
        <v>0.96771919727325439</v>
      </c>
      <c r="K55" s="40"/>
    </row>
    <row r="56" spans="1:12" x14ac:dyDescent="0.2">
      <c r="A56" s="21" t="s">
        <v>85</v>
      </c>
      <c r="B56" s="21"/>
      <c r="C56" s="21"/>
      <c r="D56" s="21"/>
      <c r="E56">
        <v>0</v>
      </c>
      <c r="F56">
        <v>0</v>
      </c>
      <c r="G56">
        <v>0</v>
      </c>
    </row>
    <row r="57" spans="1:12" x14ac:dyDescent="0.2">
      <c r="A57" s="30" t="s">
        <v>121</v>
      </c>
      <c r="E57">
        <v>50</v>
      </c>
      <c r="F57">
        <v>50</v>
      </c>
      <c r="G57">
        <v>50</v>
      </c>
      <c r="K57" s="7"/>
      <c r="L57" s="30"/>
    </row>
    <row r="58" spans="1:12" x14ac:dyDescent="0.2">
      <c r="E58" s="20"/>
    </row>
    <row r="60" spans="1:12" x14ac:dyDescent="0.2">
      <c r="A60" s="30"/>
      <c r="B60" s="45" t="s">
        <v>96</v>
      </c>
      <c r="C60" s="18" t="s">
        <v>30</v>
      </c>
      <c r="D60" s="18" t="s">
        <v>31</v>
      </c>
      <c r="E60" s="18" t="s">
        <v>32</v>
      </c>
      <c r="F60" s="17"/>
      <c r="H60" s="45"/>
      <c r="I60" s="45"/>
    </row>
    <row r="61" spans="1:12" x14ac:dyDescent="0.2">
      <c r="B61" s="18" t="s">
        <v>33</v>
      </c>
      <c r="C61" s="18" t="s">
        <v>33</v>
      </c>
      <c r="D61" s="18" t="s">
        <v>33</v>
      </c>
      <c r="E61" s="18" t="s">
        <v>33</v>
      </c>
      <c r="F61" s="17" t="s">
        <v>21</v>
      </c>
      <c r="H61" s="18"/>
      <c r="I61" s="18"/>
    </row>
    <row r="62" spans="1:12" x14ac:dyDescent="0.2">
      <c r="I62" s="42"/>
    </row>
    <row r="63" spans="1:12" x14ac:dyDescent="0.2">
      <c r="I63" s="44"/>
    </row>
  </sheetData>
  <sortState ref="B58:G1162">
    <sortCondition descending="1" ref="G58:G1162"/>
  </sortState>
  <pageMargins left="0.7" right="0.7" top="0.75" bottom="0.75" header="0.3" footer="0.3"/>
  <pageSetup orientation="portrait" horizontalDpi="4294967292" verticalDpi="4294967292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5" tint="0.59999389629810485"/>
  </sheetPr>
  <dimension ref="A2:BC46"/>
  <sheetViews>
    <sheetView zoomScaleNormal="100" workbookViewId="0">
      <selection activeCell="B20" sqref="B20:BC46"/>
    </sheetView>
  </sheetViews>
  <sheetFormatPr defaultColWidth="8.85546875" defaultRowHeight="12.75" x14ac:dyDescent="0.2"/>
  <cols>
    <col min="14" max="14" width="11" bestFit="1" customWidth="1"/>
    <col min="26" max="26" width="13.42578125" bestFit="1" customWidth="1"/>
  </cols>
  <sheetData>
    <row r="2" spans="2:55" x14ac:dyDescent="0.2">
      <c r="AH2" s="25"/>
      <c r="AI2" s="24"/>
      <c r="AJ2" s="25"/>
    </row>
    <row r="3" spans="2:55" x14ac:dyDescent="0.2">
      <c r="D3" t="s">
        <v>22</v>
      </c>
      <c r="AL3" s="24"/>
      <c r="AM3" s="24"/>
      <c r="AN3" s="24"/>
    </row>
    <row r="4" spans="2:55" x14ac:dyDescent="0.2">
      <c r="B4" t="s">
        <v>185</v>
      </c>
      <c r="AL4" s="24"/>
      <c r="AM4" s="24"/>
      <c r="AN4" s="24"/>
      <c r="BA4" s="25"/>
      <c r="BB4" s="24"/>
      <c r="BC4" s="25"/>
    </row>
    <row r="5" spans="2:55" x14ac:dyDescent="0.2">
      <c r="B5" t="s">
        <v>23</v>
      </c>
      <c r="Q5" s="4" t="s">
        <v>170</v>
      </c>
      <c r="BA5" s="24"/>
      <c r="BB5" s="24"/>
      <c r="BC5" s="24"/>
    </row>
    <row r="6" spans="2:55" x14ac:dyDescent="0.2">
      <c r="B6" t="s">
        <v>24</v>
      </c>
      <c r="BA6" s="24"/>
      <c r="BB6" s="24"/>
      <c r="BC6" s="24"/>
    </row>
    <row r="8" spans="2:55" x14ac:dyDescent="0.2">
      <c r="B8" s="14" t="s">
        <v>25</v>
      </c>
      <c r="C8" s="14"/>
      <c r="D8" s="14"/>
      <c r="E8" s="14"/>
      <c r="F8" s="14"/>
    </row>
    <row r="9" spans="2:55" x14ac:dyDescent="0.2">
      <c r="B9" s="15" t="s">
        <v>26</v>
      </c>
      <c r="C9" s="15"/>
      <c r="D9" s="15"/>
      <c r="E9" s="15"/>
      <c r="F9" s="15"/>
    </row>
    <row r="10" spans="2:55" x14ac:dyDescent="0.2">
      <c r="B10" s="16" t="s">
        <v>27</v>
      </c>
      <c r="C10" s="16"/>
      <c r="D10" s="16"/>
      <c r="E10" s="16"/>
      <c r="F10" s="16"/>
    </row>
    <row r="11" spans="2:55" x14ac:dyDescent="0.2">
      <c r="G11" s="4"/>
      <c r="Q11" s="4" t="s">
        <v>171</v>
      </c>
      <c r="S11">
        <v>80</v>
      </c>
    </row>
    <row r="12" spans="2:55" x14ac:dyDescent="0.2">
      <c r="Q12" s="4" t="s">
        <v>150</v>
      </c>
      <c r="S12">
        <v>3686</v>
      </c>
    </row>
    <row r="13" spans="2:55" x14ac:dyDescent="0.2">
      <c r="B13">
        <v>10000</v>
      </c>
      <c r="C13" s="4" t="s">
        <v>109</v>
      </c>
      <c r="Q13" s="4" t="s">
        <v>149</v>
      </c>
      <c r="S13" t="e">
        <f>S12/T20</f>
        <v>#DIV/0!</v>
      </c>
    </row>
    <row r="14" spans="2:55" x14ac:dyDescent="0.2">
      <c r="B14" s="26">
        <v>0.5</v>
      </c>
      <c r="C14" s="12" t="s">
        <v>28</v>
      </c>
      <c r="D14" s="12"/>
      <c r="E14" s="12"/>
      <c r="F14" s="12"/>
      <c r="Q14" s="4" t="s">
        <v>45</v>
      </c>
      <c r="S14">
        <f>S20*V20*SIN(RADIANS(W20))</f>
        <v>0</v>
      </c>
    </row>
    <row r="15" spans="2:55" x14ac:dyDescent="0.2">
      <c r="B15" s="26">
        <v>1</v>
      </c>
      <c r="C15" s="11" t="s">
        <v>86</v>
      </c>
      <c r="D15" s="12"/>
      <c r="E15" s="12"/>
      <c r="F15" s="12"/>
      <c r="S15" s="4">
        <f>0.5*(S21*V22+S22*V21)*SIN((RADIANS(S11)))</f>
        <v>0</v>
      </c>
    </row>
    <row r="16" spans="2:55" x14ac:dyDescent="0.2">
      <c r="B16" s="26">
        <v>2500</v>
      </c>
      <c r="C16" s="22" t="s">
        <v>39</v>
      </c>
      <c r="D16" s="21"/>
      <c r="E16" s="21"/>
      <c r="F16" s="21"/>
      <c r="H16" s="6" t="s">
        <v>92</v>
      </c>
      <c r="I16" s="6"/>
      <c r="J16" s="6"/>
      <c r="K16" s="6"/>
    </row>
    <row r="17" spans="1:36" x14ac:dyDescent="0.2">
      <c r="R17" s="20"/>
      <c r="S17" s="53" t="s">
        <v>47</v>
      </c>
      <c r="T17" s="53" t="s">
        <v>48</v>
      </c>
      <c r="U17" s="54" t="s">
        <v>43</v>
      </c>
      <c r="V17" s="54" t="s">
        <v>44</v>
      </c>
      <c r="W17" s="25" t="s">
        <v>49</v>
      </c>
      <c r="X17" s="25" t="s">
        <v>47</v>
      </c>
      <c r="Y17" s="25" t="s">
        <v>47</v>
      </c>
      <c r="AJ17" s="52"/>
    </row>
    <row r="18" spans="1:36" x14ac:dyDescent="0.2">
      <c r="B18" s="18" t="s">
        <v>29</v>
      </c>
      <c r="C18" s="18" t="s">
        <v>30</v>
      </c>
      <c r="D18" s="18" t="s">
        <v>31</v>
      </c>
      <c r="E18" s="18" t="s">
        <v>32</v>
      </c>
      <c r="F18" s="17"/>
      <c r="H18" s="18" t="s">
        <v>29</v>
      </c>
      <c r="I18" s="18" t="s">
        <v>30</v>
      </c>
      <c r="J18" s="18" t="s">
        <v>31</v>
      </c>
      <c r="K18" s="18" t="s">
        <v>32</v>
      </c>
      <c r="N18" s="11" t="s">
        <v>1</v>
      </c>
      <c r="O18" s="11" t="s">
        <v>2</v>
      </c>
      <c r="R18" s="41"/>
      <c r="S18" s="54" t="s">
        <v>53</v>
      </c>
      <c r="T18" s="54" t="s">
        <v>42</v>
      </c>
      <c r="U18" s="54" t="s">
        <v>40</v>
      </c>
      <c r="V18" s="54" t="s">
        <v>41</v>
      </c>
      <c r="W18" s="24" t="s">
        <v>46</v>
      </c>
      <c r="X18" s="25" t="s">
        <v>110</v>
      </c>
      <c r="Y18" s="25" t="s">
        <v>110</v>
      </c>
    </row>
    <row r="19" spans="1:36" x14ac:dyDescent="0.2">
      <c r="B19" s="18" t="s">
        <v>33</v>
      </c>
      <c r="C19" s="18" t="s">
        <v>33</v>
      </c>
      <c r="D19" s="18" t="s">
        <v>33</v>
      </c>
      <c r="E19" s="18" t="s">
        <v>33</v>
      </c>
      <c r="F19" s="17" t="s">
        <v>21</v>
      </c>
      <c r="H19" s="18" t="s">
        <v>33</v>
      </c>
      <c r="I19" s="18" t="s">
        <v>33</v>
      </c>
      <c r="J19" s="18" t="s">
        <v>33</v>
      </c>
      <c r="K19" s="18" t="s">
        <v>33</v>
      </c>
      <c r="N19" s="13"/>
      <c r="O19" s="13"/>
      <c r="R19" s="55" t="s">
        <v>50</v>
      </c>
      <c r="S19" s="54" t="s">
        <v>52</v>
      </c>
      <c r="T19" s="54"/>
      <c r="U19" s="54" t="s">
        <v>55</v>
      </c>
      <c r="V19" s="54" t="s">
        <v>54</v>
      </c>
      <c r="W19" s="24" t="s">
        <v>56</v>
      </c>
      <c r="X19" s="49" t="s">
        <v>111</v>
      </c>
      <c r="Y19" s="49" t="s">
        <v>112</v>
      </c>
    </row>
    <row r="20" spans="1:36" x14ac:dyDescent="0.2">
      <c r="A20" s="19" t="s">
        <v>0</v>
      </c>
      <c r="N20" s="23"/>
      <c r="O20" s="20"/>
      <c r="P20" s="20"/>
      <c r="R20" s="20"/>
      <c r="S20" s="20"/>
      <c r="T20" s="20"/>
      <c r="U20" s="20"/>
      <c r="V20" s="20"/>
      <c r="W20" s="20"/>
    </row>
    <row r="21" spans="1:36" x14ac:dyDescent="0.2">
      <c r="G21" s="23"/>
      <c r="O21" s="23"/>
      <c r="P21" s="23"/>
      <c r="Q21" s="20"/>
      <c r="R21" s="20"/>
      <c r="S21" s="20"/>
      <c r="T21" s="20"/>
      <c r="U21" s="20"/>
      <c r="V21" s="20"/>
    </row>
    <row r="22" spans="1:36" x14ac:dyDescent="0.2">
      <c r="G22" s="23"/>
      <c r="O22" s="23"/>
      <c r="P22" s="23"/>
      <c r="Q22" s="20"/>
      <c r="R22" s="20"/>
      <c r="S22" s="20"/>
      <c r="T22" s="20"/>
      <c r="U22" s="20"/>
      <c r="V22" s="20"/>
    </row>
    <row r="23" spans="1:36" x14ac:dyDescent="0.2">
      <c r="G23" s="23"/>
      <c r="O23" s="23"/>
      <c r="P23" s="23"/>
      <c r="Q23" s="20"/>
      <c r="R23" s="20"/>
      <c r="S23" s="20"/>
      <c r="T23" s="20"/>
      <c r="U23" s="20"/>
      <c r="V23" s="20"/>
    </row>
    <row r="24" spans="1:36" x14ac:dyDescent="0.2">
      <c r="G24" s="23"/>
      <c r="O24" s="23"/>
      <c r="P24" s="23"/>
      <c r="Q24" s="20"/>
    </row>
    <row r="25" spans="1:36" x14ac:dyDescent="0.2">
      <c r="G25" s="23"/>
      <c r="O25" s="23"/>
      <c r="P25" s="23"/>
      <c r="Q25" s="20"/>
    </row>
    <row r="26" spans="1:36" x14ac:dyDescent="0.2">
      <c r="G26" s="23"/>
      <c r="O26" s="23"/>
      <c r="P26" s="23"/>
      <c r="Q26" s="20"/>
    </row>
    <row r="27" spans="1:36" x14ac:dyDescent="0.2">
      <c r="G27" s="23"/>
      <c r="O27" s="23"/>
      <c r="P27" s="23"/>
      <c r="Q27" s="20"/>
    </row>
    <row r="28" spans="1:36" x14ac:dyDescent="0.2">
      <c r="G28" s="23"/>
      <c r="O28" s="23"/>
      <c r="P28" s="23"/>
      <c r="Q28" s="20"/>
    </row>
    <row r="29" spans="1:36" x14ac:dyDescent="0.2">
      <c r="G29" s="23"/>
      <c r="O29" s="23"/>
      <c r="P29" s="23"/>
      <c r="Q29" s="20"/>
    </row>
    <row r="30" spans="1:36" x14ac:dyDescent="0.2">
      <c r="G30" s="23"/>
      <c r="O30" s="23"/>
      <c r="P30" s="23"/>
      <c r="Q30" s="20"/>
    </row>
    <row r="31" spans="1:36" x14ac:dyDescent="0.2">
      <c r="G31" s="23"/>
      <c r="O31" s="23"/>
      <c r="P31" s="23"/>
      <c r="Q31" s="20"/>
    </row>
    <row r="32" spans="1:36" x14ac:dyDescent="0.2">
      <c r="G32" s="23"/>
      <c r="O32" s="23"/>
      <c r="P32" s="23"/>
      <c r="Q32" s="20"/>
    </row>
    <row r="33" spans="7:17" x14ac:dyDescent="0.2">
      <c r="G33" s="23"/>
      <c r="O33" s="23"/>
      <c r="P33" s="23"/>
      <c r="Q33" s="20"/>
    </row>
    <row r="34" spans="7:17" x14ac:dyDescent="0.2">
      <c r="G34" s="23"/>
      <c r="O34" s="23"/>
      <c r="P34" s="23"/>
      <c r="Q34" s="20"/>
    </row>
    <row r="35" spans="7:17" x14ac:dyDescent="0.2">
      <c r="G35" s="23"/>
      <c r="O35" s="23"/>
      <c r="P35" s="23"/>
      <c r="Q35" s="20"/>
    </row>
    <row r="36" spans="7:17" x14ac:dyDescent="0.2">
      <c r="G36" s="23"/>
      <c r="O36" s="23"/>
      <c r="P36" s="23"/>
      <c r="Q36" s="20"/>
    </row>
    <row r="37" spans="7:17" x14ac:dyDescent="0.2">
      <c r="G37" s="23"/>
      <c r="O37" s="23"/>
      <c r="P37" s="23"/>
      <c r="Q37" s="20"/>
    </row>
    <row r="38" spans="7:17" x14ac:dyDescent="0.2">
      <c r="G38" s="23"/>
      <c r="O38" s="23"/>
      <c r="P38" s="23"/>
      <c r="Q38" s="20"/>
    </row>
    <row r="39" spans="7:17" x14ac:dyDescent="0.2">
      <c r="G39" s="23"/>
      <c r="O39" s="23"/>
      <c r="P39" s="23"/>
      <c r="Q39" s="20"/>
    </row>
    <row r="40" spans="7:17" x14ac:dyDescent="0.2">
      <c r="G40" s="23"/>
      <c r="O40" s="23"/>
      <c r="P40" s="23"/>
      <c r="Q40" s="20"/>
    </row>
    <row r="41" spans="7:17" x14ac:dyDescent="0.2">
      <c r="G41" s="23"/>
      <c r="O41" s="23"/>
      <c r="P41" s="23"/>
      <c r="Q41" s="20"/>
    </row>
    <row r="42" spans="7:17" x14ac:dyDescent="0.2">
      <c r="G42" s="23"/>
      <c r="O42" s="23"/>
      <c r="P42" s="23"/>
      <c r="Q42" s="20"/>
    </row>
    <row r="43" spans="7:17" x14ac:dyDescent="0.2">
      <c r="G43" s="23"/>
      <c r="O43" s="23"/>
      <c r="P43" s="23"/>
      <c r="Q43" s="20"/>
    </row>
    <row r="44" spans="7:17" x14ac:dyDescent="0.2">
      <c r="G44" s="23"/>
      <c r="O44" s="23"/>
      <c r="P44" s="23"/>
      <c r="Q44" s="20"/>
    </row>
    <row r="45" spans="7:17" x14ac:dyDescent="0.2">
      <c r="G45" s="23"/>
      <c r="O45" s="23"/>
      <c r="P45" s="23"/>
      <c r="Q45" s="20"/>
    </row>
    <row r="46" spans="7:17" x14ac:dyDescent="0.2">
      <c r="G46" s="23"/>
      <c r="O46" s="23"/>
      <c r="P46" s="23"/>
      <c r="Q46" s="20"/>
    </row>
  </sheetData>
  <pageMargins left="0.7" right="0.7" top="0.75" bottom="0.75" header="0.3" footer="0.3"/>
  <pageSetup orientation="portrait" horizontalDpi="4294967292" verticalDpi="4294967292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6" tint="0.39997558519241921"/>
  </sheetPr>
  <dimension ref="A4:ADT49"/>
  <sheetViews>
    <sheetView zoomScale="75" zoomScaleNormal="75" zoomScalePageLayoutView="90" workbookViewId="0">
      <selection activeCell="B49" sqref="B49:ADT49"/>
    </sheetView>
  </sheetViews>
  <sheetFormatPr defaultColWidth="8.85546875" defaultRowHeight="12.75" x14ac:dyDescent="0.2"/>
  <cols>
    <col min="1" max="1" width="15.28515625" customWidth="1"/>
    <col min="2" max="5" width="15.140625" customWidth="1"/>
    <col min="798" max="798" width="8.85546875" style="6"/>
  </cols>
  <sheetData>
    <row r="4" spans="800:800" x14ac:dyDescent="0.2">
      <c r="ADT4" t="e">
        <f>+AVERAGE(ADR:ADR)</f>
        <v>#DIV/0!</v>
      </c>
    </row>
    <row r="5" spans="800:800" x14ac:dyDescent="0.2">
      <c r="ADT5">
        <f>MAX(ADR:ADR)</f>
        <v>0</v>
      </c>
    </row>
    <row r="35" spans="1:798" x14ac:dyDescent="0.2">
      <c r="D35" s="4"/>
    </row>
    <row r="37" spans="1:798" x14ac:dyDescent="0.2">
      <c r="B37" s="4"/>
      <c r="C37" t="s">
        <v>34</v>
      </c>
    </row>
    <row r="39" spans="1:798" x14ac:dyDescent="0.2">
      <c r="B39" s="6" t="s">
        <v>186</v>
      </c>
      <c r="C39" s="6"/>
      <c r="D39" s="6"/>
      <c r="E39" s="6"/>
    </row>
    <row r="40" spans="1:798" x14ac:dyDescent="0.2">
      <c r="YZ40">
        <f>YZ49</f>
        <v>0</v>
      </c>
    </row>
    <row r="41" spans="1:798" x14ac:dyDescent="0.2">
      <c r="EP41">
        <f>EP49</f>
        <v>0</v>
      </c>
      <c r="MW41">
        <f>MW49</f>
        <v>0</v>
      </c>
      <c r="QX41">
        <f>QX49</f>
        <v>0</v>
      </c>
      <c r="SG41">
        <f>SG49</f>
        <v>0</v>
      </c>
    </row>
    <row r="42" spans="1:798" x14ac:dyDescent="0.2">
      <c r="ADR42"/>
    </row>
    <row r="43" spans="1:798" x14ac:dyDescent="0.2">
      <c r="ADR43"/>
    </row>
    <row r="45" spans="1:798" x14ac:dyDescent="0.2">
      <c r="A45" s="6" t="s">
        <v>5</v>
      </c>
      <c r="B45">
        <v>5</v>
      </c>
      <c r="D45" s="6" t="s">
        <v>91</v>
      </c>
      <c r="E45" s="6"/>
      <c r="F45">
        <v>85</v>
      </c>
    </row>
    <row r="46" spans="1:798" x14ac:dyDescent="0.2">
      <c r="A46" s="6" t="s">
        <v>187</v>
      </c>
      <c r="B46">
        <v>0.04</v>
      </c>
      <c r="D46" s="6" t="s">
        <v>6</v>
      </c>
      <c r="E46" s="6"/>
      <c r="F46">
        <v>1.5138999205718824</v>
      </c>
      <c r="H46" t="s">
        <v>9</v>
      </c>
      <c r="L46" t="s">
        <v>10</v>
      </c>
      <c r="Q46" t="s">
        <v>10</v>
      </c>
      <c r="V46" t="s">
        <v>10</v>
      </c>
      <c r="AA46" t="s">
        <v>10</v>
      </c>
      <c r="AF46" t="s">
        <v>10</v>
      </c>
      <c r="AK46" t="s">
        <v>10</v>
      </c>
      <c r="AP46" t="s">
        <v>10</v>
      </c>
      <c r="AU46" t="s">
        <v>10</v>
      </c>
      <c r="AZ46" t="s">
        <v>10</v>
      </c>
      <c r="BE46" t="s">
        <v>10</v>
      </c>
      <c r="BJ46" t="s">
        <v>10</v>
      </c>
      <c r="BO46" t="s">
        <v>10</v>
      </c>
      <c r="BT46" t="s">
        <v>10</v>
      </c>
      <c r="BY46" t="s">
        <v>10</v>
      </c>
      <c r="CD46" t="s">
        <v>10</v>
      </c>
      <c r="CI46" t="s">
        <v>10</v>
      </c>
      <c r="CN46" t="s">
        <v>10</v>
      </c>
      <c r="CS46" t="s">
        <v>10</v>
      </c>
      <c r="CX46" t="s">
        <v>10</v>
      </c>
      <c r="DC46" t="s">
        <v>10</v>
      </c>
      <c r="DH46" t="s">
        <v>10</v>
      </c>
      <c r="DM46" t="s">
        <v>10</v>
      </c>
      <c r="DR46" t="s">
        <v>10</v>
      </c>
      <c r="DW46" t="s">
        <v>10</v>
      </c>
      <c r="EB46" t="s">
        <v>10</v>
      </c>
      <c r="EG46" t="s">
        <v>10</v>
      </c>
      <c r="EL46" t="s">
        <v>10</v>
      </c>
      <c r="EQ46" t="s">
        <v>10</v>
      </c>
      <c r="EV46" t="s">
        <v>10</v>
      </c>
      <c r="FA46" t="s">
        <v>10</v>
      </c>
      <c r="FF46" t="s">
        <v>10</v>
      </c>
      <c r="FK46" t="s">
        <v>10</v>
      </c>
      <c r="FP46" t="s">
        <v>10</v>
      </c>
      <c r="FU46" t="s">
        <v>10</v>
      </c>
      <c r="FZ46" t="s">
        <v>10</v>
      </c>
      <c r="GE46" t="s">
        <v>10</v>
      </c>
      <c r="GJ46" t="s">
        <v>10</v>
      </c>
      <c r="GO46" t="s">
        <v>10</v>
      </c>
      <c r="GT46" t="s">
        <v>10</v>
      </c>
      <c r="GY46" t="s">
        <v>10</v>
      </c>
      <c r="HD46" t="s">
        <v>10</v>
      </c>
      <c r="HI46" t="s">
        <v>10</v>
      </c>
      <c r="HN46" t="s">
        <v>10</v>
      </c>
      <c r="HS46" t="s">
        <v>10</v>
      </c>
      <c r="HX46" t="s">
        <v>10</v>
      </c>
      <c r="IC46" t="s">
        <v>10</v>
      </c>
      <c r="IH46" t="s">
        <v>10</v>
      </c>
      <c r="IM46" t="s">
        <v>10</v>
      </c>
      <c r="IR46" t="s">
        <v>10</v>
      </c>
      <c r="IW46" t="s">
        <v>10</v>
      </c>
      <c r="JB46" t="s">
        <v>10</v>
      </c>
      <c r="JG46" t="s">
        <v>10</v>
      </c>
      <c r="JL46" t="s">
        <v>10</v>
      </c>
      <c r="JQ46" t="s">
        <v>10</v>
      </c>
      <c r="JV46" t="s">
        <v>10</v>
      </c>
      <c r="KA46" t="s">
        <v>10</v>
      </c>
      <c r="KF46" t="s">
        <v>10</v>
      </c>
      <c r="KK46" t="s">
        <v>10</v>
      </c>
      <c r="KP46" t="s">
        <v>10</v>
      </c>
      <c r="KU46" t="s">
        <v>10</v>
      </c>
      <c r="KZ46" t="s">
        <v>10</v>
      </c>
      <c r="LE46" t="s">
        <v>10</v>
      </c>
      <c r="LJ46" t="s">
        <v>10</v>
      </c>
      <c r="LO46" t="s">
        <v>10</v>
      </c>
      <c r="LT46" t="s">
        <v>10</v>
      </c>
      <c r="LY46" t="s">
        <v>10</v>
      </c>
      <c r="MD46" t="s">
        <v>10</v>
      </c>
      <c r="MI46" t="s">
        <v>10</v>
      </c>
      <c r="MN46" t="s">
        <v>10</v>
      </c>
      <c r="MS46" t="s">
        <v>10</v>
      </c>
      <c r="MX46" t="s">
        <v>10</v>
      </c>
      <c r="NC46" t="s">
        <v>10</v>
      </c>
      <c r="NH46" t="s">
        <v>10</v>
      </c>
      <c r="NM46" t="s">
        <v>10</v>
      </c>
      <c r="NR46" t="s">
        <v>10</v>
      </c>
      <c r="NW46" t="s">
        <v>10</v>
      </c>
      <c r="OB46" t="s">
        <v>10</v>
      </c>
      <c r="OG46" t="s">
        <v>10</v>
      </c>
      <c r="OL46" t="s">
        <v>10</v>
      </c>
      <c r="OQ46" t="s">
        <v>10</v>
      </c>
    </row>
    <row r="47" spans="1:798" x14ac:dyDescent="0.2">
      <c r="H47" t="s">
        <v>7</v>
      </c>
      <c r="I47" t="s">
        <v>8</v>
      </c>
      <c r="K47" t="s">
        <v>12</v>
      </c>
      <c r="L47" t="s">
        <v>7</v>
      </c>
      <c r="M47" t="s">
        <v>8</v>
      </c>
      <c r="N47" t="s">
        <v>11</v>
      </c>
      <c r="P47" t="s">
        <v>12</v>
      </c>
      <c r="Q47" t="s">
        <v>7</v>
      </c>
      <c r="R47" t="s">
        <v>8</v>
      </c>
      <c r="S47" t="s">
        <v>11</v>
      </c>
      <c r="U47" t="s">
        <v>12</v>
      </c>
      <c r="V47" t="s">
        <v>7</v>
      </c>
      <c r="W47" t="s">
        <v>8</v>
      </c>
      <c r="X47" t="s">
        <v>11</v>
      </c>
      <c r="Z47" t="s">
        <v>12</v>
      </c>
      <c r="AA47" t="s">
        <v>7</v>
      </c>
      <c r="AB47" t="s">
        <v>8</v>
      </c>
      <c r="AC47" t="s">
        <v>11</v>
      </c>
      <c r="AE47" t="s">
        <v>12</v>
      </c>
      <c r="AF47" t="s">
        <v>7</v>
      </c>
      <c r="AG47" t="s">
        <v>8</v>
      </c>
      <c r="AH47" t="s">
        <v>11</v>
      </c>
      <c r="AJ47" t="s">
        <v>12</v>
      </c>
      <c r="AK47" t="s">
        <v>7</v>
      </c>
      <c r="AL47" t="s">
        <v>8</v>
      </c>
      <c r="AM47" t="s">
        <v>11</v>
      </c>
      <c r="AO47" t="s">
        <v>12</v>
      </c>
      <c r="AP47" t="s">
        <v>7</v>
      </c>
      <c r="AQ47" t="s">
        <v>8</v>
      </c>
      <c r="AR47" t="s">
        <v>11</v>
      </c>
      <c r="AT47" t="s">
        <v>12</v>
      </c>
      <c r="AU47" t="s">
        <v>7</v>
      </c>
      <c r="AV47" t="s">
        <v>8</v>
      </c>
      <c r="AW47" t="s">
        <v>11</v>
      </c>
      <c r="AY47" t="s">
        <v>12</v>
      </c>
      <c r="AZ47" t="s">
        <v>7</v>
      </c>
      <c r="BA47" t="s">
        <v>8</v>
      </c>
      <c r="BB47" t="s">
        <v>11</v>
      </c>
      <c r="BD47" t="s">
        <v>12</v>
      </c>
      <c r="BE47" t="s">
        <v>7</v>
      </c>
      <c r="BF47" t="s">
        <v>8</v>
      </c>
      <c r="BG47" t="s">
        <v>11</v>
      </c>
      <c r="BI47" t="s">
        <v>12</v>
      </c>
      <c r="BJ47" t="s">
        <v>7</v>
      </c>
      <c r="BK47" t="s">
        <v>8</v>
      </c>
      <c r="BL47" t="s">
        <v>11</v>
      </c>
      <c r="BN47" t="s">
        <v>12</v>
      </c>
      <c r="BO47" t="s">
        <v>7</v>
      </c>
      <c r="BP47" t="s">
        <v>8</v>
      </c>
      <c r="BQ47" t="s">
        <v>11</v>
      </c>
      <c r="BS47" t="s">
        <v>12</v>
      </c>
      <c r="BT47" t="s">
        <v>7</v>
      </c>
      <c r="BU47" t="s">
        <v>8</v>
      </c>
      <c r="BV47" t="s">
        <v>11</v>
      </c>
      <c r="BX47" t="s">
        <v>12</v>
      </c>
      <c r="BY47" t="s">
        <v>7</v>
      </c>
      <c r="BZ47" t="s">
        <v>8</v>
      </c>
      <c r="CA47" t="s">
        <v>11</v>
      </c>
      <c r="CC47" t="s">
        <v>12</v>
      </c>
      <c r="CD47" t="s">
        <v>7</v>
      </c>
      <c r="CE47" t="s">
        <v>8</v>
      </c>
      <c r="CF47" t="s">
        <v>11</v>
      </c>
      <c r="CH47" t="s">
        <v>12</v>
      </c>
      <c r="CI47" t="s">
        <v>7</v>
      </c>
      <c r="CJ47" t="s">
        <v>8</v>
      </c>
      <c r="CK47" t="s">
        <v>11</v>
      </c>
      <c r="CM47" t="s">
        <v>12</v>
      </c>
      <c r="CN47" t="s">
        <v>7</v>
      </c>
      <c r="CO47" t="s">
        <v>8</v>
      </c>
      <c r="CP47" t="s">
        <v>11</v>
      </c>
      <c r="CR47" t="s">
        <v>12</v>
      </c>
      <c r="CS47" t="s">
        <v>7</v>
      </c>
      <c r="CT47" t="s">
        <v>8</v>
      </c>
      <c r="CU47" t="s">
        <v>11</v>
      </c>
      <c r="CW47" t="s">
        <v>12</v>
      </c>
      <c r="CX47" t="s">
        <v>7</v>
      </c>
      <c r="CY47" t="s">
        <v>8</v>
      </c>
      <c r="CZ47" t="s">
        <v>11</v>
      </c>
      <c r="DB47" t="s">
        <v>12</v>
      </c>
      <c r="DC47" t="s">
        <v>7</v>
      </c>
      <c r="DD47" t="s">
        <v>8</v>
      </c>
      <c r="DE47" t="s">
        <v>11</v>
      </c>
      <c r="DG47" t="s">
        <v>12</v>
      </c>
      <c r="DH47" t="s">
        <v>7</v>
      </c>
      <c r="DI47" t="s">
        <v>8</v>
      </c>
      <c r="DJ47" t="s">
        <v>11</v>
      </c>
      <c r="DL47" t="s">
        <v>12</v>
      </c>
      <c r="DM47" t="s">
        <v>7</v>
      </c>
      <c r="DN47" t="s">
        <v>8</v>
      </c>
      <c r="DO47" t="s">
        <v>11</v>
      </c>
      <c r="DQ47" t="s">
        <v>12</v>
      </c>
      <c r="DR47" t="s">
        <v>7</v>
      </c>
      <c r="DS47" t="s">
        <v>8</v>
      </c>
      <c r="DT47" t="s">
        <v>11</v>
      </c>
      <c r="DV47" t="s">
        <v>12</v>
      </c>
      <c r="DW47" t="s">
        <v>7</v>
      </c>
      <c r="DX47" t="s">
        <v>8</v>
      </c>
      <c r="DY47" t="s">
        <v>11</v>
      </c>
      <c r="EA47" t="s">
        <v>12</v>
      </c>
      <c r="EB47" t="s">
        <v>7</v>
      </c>
      <c r="EC47" t="s">
        <v>8</v>
      </c>
      <c r="ED47" t="s">
        <v>11</v>
      </c>
      <c r="EF47" t="s">
        <v>12</v>
      </c>
      <c r="EG47" t="s">
        <v>7</v>
      </c>
      <c r="EH47" t="s">
        <v>8</v>
      </c>
      <c r="EI47" t="s">
        <v>11</v>
      </c>
      <c r="EK47" t="s">
        <v>12</v>
      </c>
      <c r="EL47" t="s">
        <v>7</v>
      </c>
      <c r="EM47" t="s">
        <v>8</v>
      </c>
      <c r="EN47" t="s">
        <v>11</v>
      </c>
      <c r="EP47" t="s">
        <v>12</v>
      </c>
      <c r="EQ47" t="s">
        <v>7</v>
      </c>
      <c r="ER47" t="s">
        <v>8</v>
      </c>
      <c r="ES47" t="s">
        <v>11</v>
      </c>
      <c r="EU47" t="s">
        <v>12</v>
      </c>
      <c r="EV47" t="s">
        <v>7</v>
      </c>
      <c r="EW47" t="s">
        <v>8</v>
      </c>
      <c r="EX47" t="s">
        <v>11</v>
      </c>
      <c r="EZ47" t="s">
        <v>12</v>
      </c>
      <c r="FA47" t="s">
        <v>7</v>
      </c>
      <c r="FB47" t="s">
        <v>8</v>
      </c>
      <c r="FC47" t="s">
        <v>11</v>
      </c>
      <c r="FE47" t="s">
        <v>12</v>
      </c>
      <c r="FF47" t="s">
        <v>7</v>
      </c>
      <c r="FG47" t="s">
        <v>8</v>
      </c>
      <c r="FH47" t="s">
        <v>11</v>
      </c>
      <c r="FJ47" t="s">
        <v>12</v>
      </c>
      <c r="FK47" t="s">
        <v>7</v>
      </c>
      <c r="FL47" t="s">
        <v>8</v>
      </c>
      <c r="FM47" t="s">
        <v>11</v>
      </c>
      <c r="FO47" t="s">
        <v>12</v>
      </c>
      <c r="FP47" t="s">
        <v>7</v>
      </c>
      <c r="FQ47" t="s">
        <v>8</v>
      </c>
      <c r="FR47" t="s">
        <v>11</v>
      </c>
      <c r="FT47" t="s">
        <v>12</v>
      </c>
      <c r="FU47" t="s">
        <v>7</v>
      </c>
      <c r="FV47" t="s">
        <v>8</v>
      </c>
      <c r="FW47" t="s">
        <v>11</v>
      </c>
      <c r="FY47" t="s">
        <v>12</v>
      </c>
      <c r="FZ47" t="s">
        <v>7</v>
      </c>
      <c r="GA47" t="s">
        <v>8</v>
      </c>
      <c r="GB47" t="s">
        <v>11</v>
      </c>
      <c r="GD47" t="s">
        <v>12</v>
      </c>
      <c r="GE47" t="s">
        <v>7</v>
      </c>
      <c r="GF47" t="s">
        <v>8</v>
      </c>
      <c r="GG47" t="s">
        <v>11</v>
      </c>
      <c r="GI47" t="s">
        <v>12</v>
      </c>
      <c r="GJ47" t="s">
        <v>7</v>
      </c>
      <c r="GK47" t="s">
        <v>8</v>
      </c>
      <c r="GL47" t="s">
        <v>11</v>
      </c>
      <c r="GN47" t="s">
        <v>12</v>
      </c>
      <c r="GO47" t="s">
        <v>7</v>
      </c>
      <c r="GP47" t="s">
        <v>8</v>
      </c>
      <c r="GQ47" t="s">
        <v>11</v>
      </c>
      <c r="GS47" t="s">
        <v>12</v>
      </c>
      <c r="GT47" t="s">
        <v>7</v>
      </c>
      <c r="GU47" t="s">
        <v>8</v>
      </c>
      <c r="GV47" t="s">
        <v>11</v>
      </c>
      <c r="GX47" t="s">
        <v>12</v>
      </c>
      <c r="GY47" t="s">
        <v>7</v>
      </c>
      <c r="GZ47" t="s">
        <v>8</v>
      </c>
      <c r="HA47" t="s">
        <v>11</v>
      </c>
      <c r="HC47" t="s">
        <v>12</v>
      </c>
      <c r="HD47" t="s">
        <v>7</v>
      </c>
      <c r="HE47" t="s">
        <v>8</v>
      </c>
      <c r="HF47" t="s">
        <v>11</v>
      </c>
      <c r="HH47" t="s">
        <v>12</v>
      </c>
      <c r="HI47" t="s">
        <v>7</v>
      </c>
      <c r="HJ47" t="s">
        <v>8</v>
      </c>
      <c r="HK47" t="s">
        <v>11</v>
      </c>
      <c r="HM47" t="s">
        <v>12</v>
      </c>
      <c r="HN47" t="s">
        <v>7</v>
      </c>
      <c r="HO47" t="s">
        <v>8</v>
      </c>
      <c r="HP47" t="s">
        <v>11</v>
      </c>
      <c r="HR47" t="s">
        <v>12</v>
      </c>
      <c r="HS47" t="s">
        <v>7</v>
      </c>
      <c r="HT47" t="s">
        <v>8</v>
      </c>
      <c r="HU47" t="s">
        <v>11</v>
      </c>
      <c r="HW47" t="s">
        <v>12</v>
      </c>
      <c r="HX47" t="s">
        <v>7</v>
      </c>
      <c r="HY47" t="s">
        <v>8</v>
      </c>
      <c r="HZ47" t="s">
        <v>11</v>
      </c>
      <c r="IB47" t="s">
        <v>12</v>
      </c>
      <c r="IC47" t="s">
        <v>7</v>
      </c>
      <c r="ID47" t="s">
        <v>8</v>
      </c>
      <c r="IE47" t="s">
        <v>11</v>
      </c>
      <c r="IG47" t="s">
        <v>12</v>
      </c>
      <c r="IH47" t="s">
        <v>7</v>
      </c>
      <c r="II47" t="s">
        <v>8</v>
      </c>
      <c r="IJ47" t="s">
        <v>11</v>
      </c>
      <c r="IL47" t="s">
        <v>12</v>
      </c>
      <c r="IM47" t="s">
        <v>7</v>
      </c>
      <c r="IN47" t="s">
        <v>8</v>
      </c>
      <c r="IO47" t="s">
        <v>11</v>
      </c>
      <c r="IQ47" t="s">
        <v>12</v>
      </c>
      <c r="IR47" t="s">
        <v>7</v>
      </c>
      <c r="IS47" t="s">
        <v>8</v>
      </c>
      <c r="IT47" t="s">
        <v>11</v>
      </c>
      <c r="IV47" t="s">
        <v>12</v>
      </c>
      <c r="IW47" t="s">
        <v>7</v>
      </c>
      <c r="IX47" t="s">
        <v>8</v>
      </c>
      <c r="IY47" t="s">
        <v>11</v>
      </c>
      <c r="JA47" t="s">
        <v>12</v>
      </c>
      <c r="JB47" t="s">
        <v>7</v>
      </c>
      <c r="JC47" t="s">
        <v>8</v>
      </c>
      <c r="JD47" t="s">
        <v>11</v>
      </c>
      <c r="JF47" t="s">
        <v>12</v>
      </c>
      <c r="JG47" t="s">
        <v>7</v>
      </c>
      <c r="JH47" t="s">
        <v>8</v>
      </c>
      <c r="JI47" t="s">
        <v>11</v>
      </c>
      <c r="JK47" t="s">
        <v>12</v>
      </c>
      <c r="JL47" t="s">
        <v>7</v>
      </c>
      <c r="JM47" t="s">
        <v>8</v>
      </c>
      <c r="JN47" t="s">
        <v>11</v>
      </c>
      <c r="JP47" t="s">
        <v>12</v>
      </c>
      <c r="JQ47" t="s">
        <v>7</v>
      </c>
      <c r="JR47" t="s">
        <v>8</v>
      </c>
      <c r="JS47" t="s">
        <v>11</v>
      </c>
      <c r="JU47" t="s">
        <v>12</v>
      </c>
      <c r="JV47" t="s">
        <v>7</v>
      </c>
      <c r="JW47" t="s">
        <v>8</v>
      </c>
      <c r="JX47" t="s">
        <v>11</v>
      </c>
      <c r="JZ47" t="s">
        <v>12</v>
      </c>
      <c r="KA47" t="s">
        <v>7</v>
      </c>
      <c r="KB47" t="s">
        <v>8</v>
      </c>
      <c r="KC47" t="s">
        <v>11</v>
      </c>
      <c r="KE47" t="s">
        <v>12</v>
      </c>
      <c r="KF47" t="s">
        <v>7</v>
      </c>
      <c r="KG47" t="s">
        <v>8</v>
      </c>
      <c r="KH47" t="s">
        <v>11</v>
      </c>
      <c r="KJ47" t="s">
        <v>12</v>
      </c>
      <c r="KK47" t="s">
        <v>7</v>
      </c>
      <c r="KL47" t="s">
        <v>8</v>
      </c>
      <c r="KM47" t="s">
        <v>11</v>
      </c>
      <c r="KO47" t="s">
        <v>12</v>
      </c>
      <c r="KP47" t="s">
        <v>7</v>
      </c>
      <c r="KQ47" t="s">
        <v>8</v>
      </c>
      <c r="KR47" t="s">
        <v>11</v>
      </c>
      <c r="KT47" t="s">
        <v>12</v>
      </c>
      <c r="KU47" t="s">
        <v>7</v>
      </c>
      <c r="KV47" t="s">
        <v>8</v>
      </c>
      <c r="KW47" t="s">
        <v>11</v>
      </c>
      <c r="KY47" t="s">
        <v>12</v>
      </c>
      <c r="KZ47" t="s">
        <v>7</v>
      </c>
      <c r="LA47" t="s">
        <v>8</v>
      </c>
      <c r="LB47" t="s">
        <v>11</v>
      </c>
      <c r="LD47" t="s">
        <v>12</v>
      </c>
      <c r="LE47" t="s">
        <v>7</v>
      </c>
      <c r="LF47" t="s">
        <v>8</v>
      </c>
      <c r="LG47" t="s">
        <v>11</v>
      </c>
      <c r="LI47" t="s">
        <v>12</v>
      </c>
      <c r="LJ47" t="s">
        <v>7</v>
      </c>
      <c r="LK47" t="s">
        <v>8</v>
      </c>
      <c r="LL47" t="s">
        <v>11</v>
      </c>
      <c r="LN47" t="s">
        <v>12</v>
      </c>
      <c r="LO47" t="s">
        <v>7</v>
      </c>
      <c r="LP47" t="s">
        <v>8</v>
      </c>
      <c r="LQ47" t="s">
        <v>11</v>
      </c>
      <c r="LS47" t="s">
        <v>12</v>
      </c>
      <c r="LT47" t="s">
        <v>7</v>
      </c>
      <c r="LU47" t="s">
        <v>8</v>
      </c>
      <c r="LV47" t="s">
        <v>11</v>
      </c>
      <c r="LX47" t="s">
        <v>12</v>
      </c>
      <c r="LY47" t="s">
        <v>7</v>
      </c>
      <c r="LZ47" t="s">
        <v>8</v>
      </c>
      <c r="MA47" t="s">
        <v>11</v>
      </c>
      <c r="MC47" t="s">
        <v>12</v>
      </c>
      <c r="MD47" t="s">
        <v>7</v>
      </c>
      <c r="ME47" t="s">
        <v>8</v>
      </c>
      <c r="MF47" t="s">
        <v>11</v>
      </c>
      <c r="MH47" t="s">
        <v>12</v>
      </c>
      <c r="MI47" t="s">
        <v>7</v>
      </c>
      <c r="MJ47" t="s">
        <v>8</v>
      </c>
      <c r="MK47" t="s">
        <v>11</v>
      </c>
      <c r="MM47" t="s">
        <v>12</v>
      </c>
      <c r="MN47" t="s">
        <v>7</v>
      </c>
      <c r="MO47" t="s">
        <v>8</v>
      </c>
      <c r="MP47" t="s">
        <v>11</v>
      </c>
      <c r="MR47" t="s">
        <v>12</v>
      </c>
      <c r="MS47" t="s">
        <v>7</v>
      </c>
      <c r="MT47" t="s">
        <v>8</v>
      </c>
      <c r="MU47" t="s">
        <v>11</v>
      </c>
      <c r="MW47" t="s">
        <v>12</v>
      </c>
      <c r="MX47" t="s">
        <v>7</v>
      </c>
      <c r="MY47" t="s">
        <v>8</v>
      </c>
      <c r="MZ47" t="s">
        <v>11</v>
      </c>
      <c r="NB47" t="s">
        <v>12</v>
      </c>
      <c r="NC47" t="s">
        <v>7</v>
      </c>
      <c r="ND47" t="s">
        <v>8</v>
      </c>
      <c r="NE47" t="s">
        <v>11</v>
      </c>
      <c r="NG47" t="s">
        <v>12</v>
      </c>
      <c r="NH47" t="s">
        <v>7</v>
      </c>
      <c r="NI47" t="s">
        <v>8</v>
      </c>
      <c r="NJ47" t="s">
        <v>11</v>
      </c>
      <c r="NL47" t="s">
        <v>12</v>
      </c>
      <c r="NM47" t="s">
        <v>7</v>
      </c>
      <c r="NN47" t="s">
        <v>8</v>
      </c>
      <c r="NO47" t="s">
        <v>11</v>
      </c>
      <c r="NQ47" t="s">
        <v>12</v>
      </c>
      <c r="NR47" t="s">
        <v>7</v>
      </c>
      <c r="NS47" t="s">
        <v>8</v>
      </c>
      <c r="NT47" t="s">
        <v>11</v>
      </c>
      <c r="NV47" t="s">
        <v>12</v>
      </c>
      <c r="NW47" t="s">
        <v>7</v>
      </c>
      <c r="NX47" t="s">
        <v>8</v>
      </c>
      <c r="NY47" t="s">
        <v>11</v>
      </c>
      <c r="OA47" t="s">
        <v>12</v>
      </c>
      <c r="OB47" t="s">
        <v>7</v>
      </c>
      <c r="OC47" t="s">
        <v>8</v>
      </c>
      <c r="OD47" t="s">
        <v>11</v>
      </c>
      <c r="OF47" t="s">
        <v>12</v>
      </c>
      <c r="OG47" t="s">
        <v>7</v>
      </c>
      <c r="OH47" t="s">
        <v>8</v>
      </c>
      <c r="OI47" t="s">
        <v>11</v>
      </c>
      <c r="OK47" t="s">
        <v>12</v>
      </c>
      <c r="OL47" t="s">
        <v>7</v>
      </c>
      <c r="OM47" t="s">
        <v>8</v>
      </c>
      <c r="ON47" t="s">
        <v>11</v>
      </c>
      <c r="OP47" t="s">
        <v>12</v>
      </c>
      <c r="OQ47" t="s">
        <v>7</v>
      </c>
      <c r="OR47" t="s">
        <v>8</v>
      </c>
      <c r="OS47" t="s">
        <v>11</v>
      </c>
    </row>
    <row r="48" spans="1:798" x14ac:dyDescent="0.2">
      <c r="B48" s="1" t="s">
        <v>1</v>
      </c>
      <c r="C48" s="1" t="s">
        <v>2</v>
      </c>
      <c r="D48" s="1" t="s">
        <v>3</v>
      </c>
      <c r="E48" s="1" t="s">
        <v>4</v>
      </c>
      <c r="F48" s="3"/>
      <c r="G48" s="5"/>
    </row>
    <row r="49" spans="1:1" x14ac:dyDescent="0.2">
      <c r="A49" s="2"/>
    </row>
  </sheetData>
  <sortState ref="ADR21:ADR809">
    <sortCondition ref="ADR21:ADR809"/>
  </sortState>
  <pageMargins left="0.7" right="0.7" top="0.75" bottom="0.75" header="0.3" footer="0.3"/>
  <pageSetup orientation="portrait" horizontalDpi="4294967292" verticalDpi="429496729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7" tint="0.39997558519241921"/>
  </sheetPr>
  <dimension ref="A1:V757"/>
  <sheetViews>
    <sheetView zoomScale="75" zoomScaleNormal="75" zoomScalePageLayoutView="145" workbookViewId="0">
      <selection activeCell="B10" sqref="B10:V757"/>
    </sheetView>
  </sheetViews>
  <sheetFormatPr defaultColWidth="8.85546875" defaultRowHeight="12.75" x14ac:dyDescent="0.2"/>
  <cols>
    <col min="8" max="8" width="12.42578125" bestFit="1" customWidth="1"/>
    <col min="14" max="14" width="10.42578125" customWidth="1"/>
  </cols>
  <sheetData>
    <row r="1" spans="1:22" x14ac:dyDescent="0.2">
      <c r="E1" s="8"/>
      <c r="F1" s="8"/>
    </row>
    <row r="2" spans="1:22" x14ac:dyDescent="0.2">
      <c r="B2" s="4" t="s">
        <v>180</v>
      </c>
      <c r="E2" s="28" t="s">
        <v>93</v>
      </c>
      <c r="F2" s="6"/>
    </row>
    <row r="3" spans="1:22" x14ac:dyDescent="0.2">
      <c r="E3">
        <v>1.233936037336077</v>
      </c>
      <c r="H3" s="28" t="s">
        <v>47</v>
      </c>
      <c r="I3" s="6"/>
      <c r="J3" s="28" t="s">
        <v>47</v>
      </c>
      <c r="K3" s="6"/>
      <c r="L3" s="28" t="s">
        <v>101</v>
      </c>
      <c r="M3" s="6"/>
      <c r="N3" s="28" t="s">
        <v>101</v>
      </c>
      <c r="O3" s="6"/>
      <c r="P3" s="28" t="s">
        <v>105</v>
      </c>
      <c r="Q3" s="6"/>
      <c r="R3" s="6"/>
      <c r="S3" s="28" t="s">
        <v>100</v>
      </c>
      <c r="T3" s="6"/>
      <c r="V3" s="28" t="s">
        <v>45</v>
      </c>
    </row>
    <row r="4" spans="1:22" x14ac:dyDescent="0.2">
      <c r="A4" s="4" t="s">
        <v>95</v>
      </c>
      <c r="B4">
        <v>1</v>
      </c>
      <c r="E4" s="28" t="s">
        <v>97</v>
      </c>
      <c r="F4" s="6"/>
      <c r="H4" s="28" t="s">
        <v>60</v>
      </c>
      <c r="J4" s="28" t="s">
        <v>89</v>
      </c>
      <c r="L4" s="6" t="s">
        <v>90</v>
      </c>
      <c r="N4" s="28" t="s">
        <v>99</v>
      </c>
      <c r="P4" s="28" t="s">
        <v>104</v>
      </c>
      <c r="Q4" s="28" t="s">
        <v>106</v>
      </c>
      <c r="S4" s="47" t="s">
        <v>102</v>
      </c>
      <c r="T4" s="47" t="s">
        <v>103</v>
      </c>
      <c r="V4">
        <f>L5*E3*SIN(RADIANS(E7))</f>
        <v>1.9064709067593082</v>
      </c>
    </row>
    <row r="5" spans="1:22" x14ac:dyDescent="0.2">
      <c r="A5" t="s">
        <v>61</v>
      </c>
      <c r="B5">
        <v>5.0000000000000001E-3</v>
      </c>
      <c r="C5" t="s">
        <v>57</v>
      </c>
      <c r="E5">
        <v>73.701659600956262</v>
      </c>
      <c r="H5">
        <v>2.75848388671875</v>
      </c>
      <c r="J5">
        <v>8.6375521487323574</v>
      </c>
      <c r="L5">
        <v>3.1312679368255547</v>
      </c>
      <c r="N5">
        <v>1.9318921749020195E-3</v>
      </c>
      <c r="P5">
        <v>8.9625024319820279E-2</v>
      </c>
      <c r="Q5">
        <v>0.30652538932154366</v>
      </c>
      <c r="S5">
        <v>4.0331320762634277</v>
      </c>
      <c r="T5">
        <v>0.68395572900772095</v>
      </c>
    </row>
    <row r="6" spans="1:22" x14ac:dyDescent="0.2">
      <c r="A6" s="34" t="s">
        <v>94</v>
      </c>
      <c r="B6" s="34"/>
      <c r="C6" s="34"/>
      <c r="D6" s="34"/>
      <c r="E6" s="28" t="s">
        <v>98</v>
      </c>
      <c r="F6" s="6"/>
    </row>
    <row r="7" spans="1:22" x14ac:dyDescent="0.2">
      <c r="E7">
        <v>29.565658690922564</v>
      </c>
      <c r="G7" s="34"/>
      <c r="J7" s="28" t="s">
        <v>87</v>
      </c>
      <c r="K7" s="6"/>
      <c r="M7" s="28" t="s">
        <v>65</v>
      </c>
      <c r="N7" s="6"/>
    </row>
    <row r="8" spans="1:22" x14ac:dyDescent="0.2">
      <c r="B8" t="s">
        <v>188</v>
      </c>
      <c r="J8" s="28" t="s">
        <v>58</v>
      </c>
      <c r="K8" s="28" t="s">
        <v>59</v>
      </c>
      <c r="M8" s="28" t="s">
        <v>58</v>
      </c>
      <c r="N8" s="28" t="s">
        <v>59</v>
      </c>
      <c r="P8" s="8" t="s">
        <v>83</v>
      </c>
      <c r="Q8" s="8"/>
      <c r="R8" s="8"/>
    </row>
    <row r="9" spans="1:22" x14ac:dyDescent="0.2">
      <c r="B9" s="28" t="s">
        <v>58</v>
      </c>
      <c r="C9" s="28" t="s">
        <v>59</v>
      </c>
      <c r="D9" s="6"/>
      <c r="E9" s="28" t="s">
        <v>62</v>
      </c>
      <c r="F9" s="28" t="s">
        <v>63</v>
      </c>
      <c r="J9" s="28" t="s">
        <v>64</v>
      </c>
      <c r="K9" s="6"/>
      <c r="M9" s="28" t="s">
        <v>88</v>
      </c>
      <c r="N9" s="6"/>
      <c r="P9" s="46" t="s">
        <v>58</v>
      </c>
      <c r="Q9" s="46" t="s">
        <v>59</v>
      </c>
      <c r="R9" s="46">
        <v>100.24256134033203</v>
      </c>
    </row>
    <row r="10" spans="1:22" x14ac:dyDescent="0.2">
      <c r="J10" s="20"/>
      <c r="K10" s="20"/>
      <c r="L10" s="20"/>
      <c r="M10" s="20"/>
      <c r="N10" s="20"/>
      <c r="O10" s="20"/>
      <c r="P10" s="20"/>
      <c r="Q10" s="20"/>
      <c r="R10" s="20"/>
    </row>
    <row r="11" spans="1:22" x14ac:dyDescent="0.2">
      <c r="J11" s="20"/>
      <c r="K11" s="20"/>
      <c r="L11" s="20"/>
      <c r="M11" s="20"/>
      <c r="N11" s="20"/>
      <c r="O11" s="20"/>
      <c r="P11" s="20"/>
      <c r="Q11" s="20"/>
      <c r="R11" s="20"/>
    </row>
    <row r="12" spans="1:22" x14ac:dyDescent="0.2">
      <c r="J12" s="20"/>
      <c r="K12" s="20"/>
      <c r="L12" s="20"/>
      <c r="M12" s="20"/>
      <c r="N12" s="20"/>
      <c r="O12" s="20"/>
      <c r="P12" s="20"/>
      <c r="Q12" s="20"/>
      <c r="R12" s="20"/>
    </row>
    <row r="13" spans="1:22" x14ac:dyDescent="0.2">
      <c r="J13" s="20"/>
      <c r="K13" s="20"/>
      <c r="L13" s="20"/>
      <c r="M13" s="20"/>
      <c r="N13" s="20"/>
      <c r="O13" s="20"/>
      <c r="P13" s="20"/>
      <c r="Q13" s="20"/>
      <c r="R13" s="20"/>
    </row>
    <row r="14" spans="1:22" x14ac:dyDescent="0.2">
      <c r="J14" s="20"/>
      <c r="K14" s="20"/>
      <c r="L14" s="20"/>
      <c r="M14" s="20"/>
      <c r="N14" s="20"/>
      <c r="O14" s="20"/>
      <c r="P14" s="20"/>
      <c r="Q14" s="20"/>
      <c r="R14" s="20"/>
    </row>
    <row r="15" spans="1:22" x14ac:dyDescent="0.2">
      <c r="J15" s="20"/>
      <c r="K15" s="20"/>
      <c r="L15" s="20"/>
      <c r="M15" s="20"/>
      <c r="N15" s="20"/>
      <c r="O15" s="20"/>
      <c r="P15" s="20"/>
      <c r="Q15" s="20"/>
      <c r="R15" s="20"/>
    </row>
    <row r="21" spans="20:20" x14ac:dyDescent="0.2">
      <c r="T21" s="4"/>
    </row>
    <row r="22" spans="20:20" x14ac:dyDescent="0.2">
      <c r="T22" s="4"/>
    </row>
    <row r="427" spans="5:6" x14ac:dyDescent="0.2">
      <c r="E427" s="43"/>
      <c r="F427" s="43"/>
    </row>
    <row r="757" spans="5:6" x14ac:dyDescent="0.2">
      <c r="E757" s="43"/>
      <c r="F757" s="44"/>
    </row>
  </sheetData>
  <pageMargins left="0.7" right="0.7" top="0.75" bottom="0.75" header="0.3" footer="0.3"/>
  <pageSetup orientation="portrait" horizontalDpi="200" verticalDpi="20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8" tint="0.39997558519241921"/>
  </sheetPr>
  <dimension ref="A2:T38"/>
  <sheetViews>
    <sheetView topLeftCell="B1" zoomScale="91" zoomScaleNormal="91" workbookViewId="0">
      <selection activeCell="F5" sqref="F5:T38"/>
    </sheetView>
  </sheetViews>
  <sheetFormatPr defaultRowHeight="12.75" x14ac:dyDescent="0.2"/>
  <sheetData>
    <row r="2" spans="1:20" x14ac:dyDescent="0.2">
      <c r="C2" t="s">
        <v>179</v>
      </c>
      <c r="F2" s="56" t="s">
        <v>134</v>
      </c>
      <c r="G2" s="56" t="s">
        <v>134</v>
      </c>
      <c r="H2" s="57"/>
      <c r="I2" s="58"/>
      <c r="J2" s="59" t="s">
        <v>47</v>
      </c>
      <c r="K2" s="58"/>
      <c r="L2" s="59" t="s">
        <v>47</v>
      </c>
      <c r="M2" s="60" t="s">
        <v>135</v>
      </c>
      <c r="N2" s="60" t="s">
        <v>135</v>
      </c>
      <c r="O2" s="28" t="s">
        <v>126</v>
      </c>
      <c r="P2" s="28" t="s">
        <v>136</v>
      </c>
      <c r="Q2" s="28" t="s">
        <v>153</v>
      </c>
      <c r="R2" s="11" t="s">
        <v>137</v>
      </c>
      <c r="S2" s="12"/>
      <c r="T2" s="12"/>
    </row>
    <row r="3" spans="1:20" x14ac:dyDescent="0.2">
      <c r="F3" s="56" t="s">
        <v>137</v>
      </c>
      <c r="G3" s="56" t="s">
        <v>138</v>
      </c>
      <c r="H3" s="56" t="s">
        <v>139</v>
      </c>
      <c r="I3" s="59" t="s">
        <v>140</v>
      </c>
      <c r="J3" s="59" t="s">
        <v>141</v>
      </c>
      <c r="K3" s="59" t="s">
        <v>41</v>
      </c>
      <c r="L3" s="59" t="s">
        <v>142</v>
      </c>
      <c r="M3" s="60" t="s">
        <v>143</v>
      </c>
      <c r="N3" s="60" t="s">
        <v>143</v>
      </c>
      <c r="O3" s="28" t="s">
        <v>127</v>
      </c>
      <c r="P3" s="28" t="s">
        <v>144</v>
      </c>
      <c r="Q3" s="28" t="s">
        <v>154</v>
      </c>
      <c r="R3" s="11" t="s">
        <v>155</v>
      </c>
      <c r="S3" s="11" t="s">
        <v>40</v>
      </c>
      <c r="T3" s="11"/>
    </row>
    <row r="4" spans="1:20" x14ac:dyDescent="0.2">
      <c r="F4" s="56" t="s">
        <v>145</v>
      </c>
      <c r="G4" s="56" t="s">
        <v>52</v>
      </c>
      <c r="H4" s="56" t="s">
        <v>52</v>
      </c>
      <c r="I4" s="59" t="s">
        <v>113</v>
      </c>
      <c r="J4" s="59" t="s">
        <v>52</v>
      </c>
      <c r="K4" s="59" t="s">
        <v>54</v>
      </c>
      <c r="L4" s="59" t="s">
        <v>112</v>
      </c>
      <c r="M4" s="60" t="s">
        <v>146</v>
      </c>
      <c r="N4" s="60" t="s">
        <v>147</v>
      </c>
      <c r="O4" s="28" t="s">
        <v>56</v>
      </c>
      <c r="P4" s="28" t="s">
        <v>148</v>
      </c>
      <c r="Q4" s="28" t="s">
        <v>52</v>
      </c>
      <c r="R4" s="11" t="s">
        <v>156</v>
      </c>
      <c r="S4" s="11" t="s">
        <v>157</v>
      </c>
      <c r="T4" s="11" t="s">
        <v>45</v>
      </c>
    </row>
    <row r="5" spans="1:20" x14ac:dyDescent="0.2">
      <c r="A5" s="28" t="s">
        <v>123</v>
      </c>
      <c r="B5" s="6"/>
      <c r="C5" s="6"/>
      <c r="D5">
        <f>HULLX!S5</f>
        <v>4.0331320762634277</v>
      </c>
    </row>
    <row r="6" spans="1:20" x14ac:dyDescent="0.2">
      <c r="A6" s="28" t="s">
        <v>124</v>
      </c>
      <c r="B6" s="6"/>
      <c r="C6" s="6"/>
      <c r="D6">
        <f>HULLX!T5</f>
        <v>0.68395572900772095</v>
      </c>
    </row>
    <row r="7" spans="1:20" x14ac:dyDescent="0.2">
      <c r="A7" s="28" t="s">
        <v>125</v>
      </c>
      <c r="B7" s="6"/>
      <c r="C7" s="6"/>
      <c r="D7" s="4">
        <f>HULLX!H5</f>
        <v>2.75848388671875</v>
      </c>
    </row>
    <row r="8" spans="1:20" x14ac:dyDescent="0.2">
      <c r="A8" s="28" t="s">
        <v>128</v>
      </c>
      <c r="B8" s="6"/>
      <c r="C8" s="6"/>
      <c r="D8">
        <f>HULLX!J5</f>
        <v>8.6375521487323574</v>
      </c>
    </row>
    <row r="9" spans="1:20" x14ac:dyDescent="0.2">
      <c r="A9" s="28" t="s">
        <v>90</v>
      </c>
      <c r="B9" s="6"/>
      <c r="C9" s="6"/>
      <c r="D9">
        <f>HULLX!L5</f>
        <v>3.1312679368255547</v>
      </c>
    </row>
    <row r="10" spans="1:20" x14ac:dyDescent="0.2">
      <c r="A10" s="28" t="s">
        <v>129</v>
      </c>
      <c r="B10" s="6"/>
      <c r="C10" s="6"/>
      <c r="D10">
        <f>HULLX!N5</f>
        <v>1.9318921749020195E-3</v>
      </c>
    </row>
    <row r="11" spans="1:20" x14ac:dyDescent="0.2">
      <c r="A11" s="28" t="s">
        <v>130</v>
      </c>
      <c r="B11" s="6"/>
      <c r="C11" s="6"/>
      <c r="D11">
        <f>HULLX!P5</f>
        <v>8.9625024319820279E-2</v>
      </c>
    </row>
    <row r="12" spans="1:20" x14ac:dyDescent="0.2">
      <c r="A12" s="28" t="s">
        <v>131</v>
      </c>
      <c r="B12" s="6"/>
      <c r="C12" s="6"/>
      <c r="D12">
        <f>HULLX!Q5</f>
        <v>0.30652538932154366</v>
      </c>
    </row>
    <row r="13" spans="1:20" x14ac:dyDescent="0.2">
      <c r="A13" s="28" t="s">
        <v>132</v>
      </c>
      <c r="B13" s="6"/>
      <c r="C13" s="6"/>
      <c r="D13">
        <f>HULLX!E5</f>
        <v>73.701659600956262</v>
      </c>
    </row>
    <row r="14" spans="1:20" x14ac:dyDescent="0.2">
      <c r="A14" s="28" t="s">
        <v>133</v>
      </c>
      <c r="B14" s="6"/>
      <c r="C14" s="6"/>
      <c r="D14">
        <f>HULLX!E7</f>
        <v>29.565658690922564</v>
      </c>
    </row>
    <row r="15" spans="1:20" x14ac:dyDescent="0.2">
      <c r="A15" s="28" t="s">
        <v>151</v>
      </c>
      <c r="B15" s="6"/>
      <c r="C15" s="6"/>
      <c r="D15">
        <f>HULLX!E3</f>
        <v>1.233936037336077</v>
      </c>
    </row>
    <row r="16" spans="1:20" x14ac:dyDescent="0.2">
      <c r="A16" s="28" t="s">
        <v>152</v>
      </c>
      <c r="B16" s="6"/>
      <c r="C16" s="6"/>
      <c r="D16">
        <f>D8/D15</f>
        <v>6.9999999087309401</v>
      </c>
    </row>
    <row r="17" spans="1:4" x14ac:dyDescent="0.2">
      <c r="A17" s="28" t="s">
        <v>40</v>
      </c>
      <c r="B17" s="6">
        <v>0</v>
      </c>
      <c r="C17" s="6">
        <v>0</v>
      </c>
      <c r="D17">
        <v>0</v>
      </c>
    </row>
    <row r="18" spans="1:4" x14ac:dyDescent="0.2">
      <c r="A18" s="28" t="s">
        <v>114</v>
      </c>
      <c r="B18" s="6">
        <v>0</v>
      </c>
      <c r="C18" s="6">
        <v>0</v>
      </c>
      <c r="D18">
        <v>0</v>
      </c>
    </row>
    <row r="19" spans="1:4" x14ac:dyDescent="0.2">
      <c r="B19">
        <v>0</v>
      </c>
      <c r="C19">
        <v>0</v>
      </c>
      <c r="D19">
        <v>0</v>
      </c>
    </row>
    <row r="22" spans="1:4" x14ac:dyDescent="0.2">
      <c r="B22" s="64"/>
      <c r="C22" s="64"/>
      <c r="D22" s="4">
        <f>COUNT(F5:F20000)</f>
        <v>0</v>
      </c>
    </row>
    <row r="23" spans="1:4" x14ac:dyDescent="0.2">
      <c r="A23" s="4" t="s">
        <v>172</v>
      </c>
      <c r="B23" s="64"/>
      <c r="C23" s="64"/>
      <c r="D23">
        <f>MAX(F5:F20000)</f>
        <v>0</v>
      </c>
    </row>
    <row r="24" spans="1:4" x14ac:dyDescent="0.2">
      <c r="A24" s="4" t="s">
        <v>167</v>
      </c>
      <c r="B24" s="64"/>
      <c r="C24" s="64"/>
      <c r="D24">
        <f>MAX(I5:I20000)</f>
        <v>0</v>
      </c>
    </row>
    <row r="25" spans="1:4" x14ac:dyDescent="0.2">
      <c r="A25" s="4" t="s">
        <v>168</v>
      </c>
      <c r="B25" s="64"/>
      <c r="C25" s="64"/>
      <c r="D25">
        <f>MAX(J5:J20000)</f>
        <v>0</v>
      </c>
    </row>
    <row r="26" spans="1:4" x14ac:dyDescent="0.2">
      <c r="B26" s="64"/>
      <c r="C26" s="64"/>
    </row>
    <row r="27" spans="1:4" x14ac:dyDescent="0.2">
      <c r="A27" s="4" t="s">
        <v>165</v>
      </c>
      <c r="B27" s="64"/>
      <c r="C27" s="64"/>
      <c r="D27" t="e">
        <f>AVERAGE(F5:F20000)</f>
        <v>#DIV/0!</v>
      </c>
    </row>
    <row r="28" spans="1:4" x14ac:dyDescent="0.2">
      <c r="A28" s="4" t="s">
        <v>166</v>
      </c>
      <c r="B28" s="64"/>
      <c r="C28" s="64"/>
      <c r="D28" t="e">
        <f>AVERAGE(I5:I20000)</f>
        <v>#DIV/0!</v>
      </c>
    </row>
    <row r="29" spans="1:4" x14ac:dyDescent="0.2">
      <c r="A29" s="4" t="s">
        <v>169</v>
      </c>
      <c r="B29" s="64"/>
      <c r="C29" s="64"/>
      <c r="D29" t="e">
        <f>AVERAGE(J5:J20000)</f>
        <v>#DIV/0!</v>
      </c>
    </row>
    <row r="30" spans="1:4" x14ac:dyDescent="0.2">
      <c r="B30" s="64"/>
      <c r="C30" s="64"/>
    </row>
    <row r="31" spans="1:4" x14ac:dyDescent="0.2">
      <c r="A31" s="4" t="s">
        <v>161</v>
      </c>
      <c r="B31" s="64"/>
      <c r="C31" s="64"/>
      <c r="D31">
        <f>MAX(M5:M20000)</f>
        <v>0</v>
      </c>
    </row>
    <row r="32" spans="1:4" x14ac:dyDescent="0.2">
      <c r="A32" s="4" t="s">
        <v>162</v>
      </c>
      <c r="B32" s="64"/>
      <c r="C32" s="64"/>
      <c r="D32">
        <f>MAX(N5:N20000)</f>
        <v>0</v>
      </c>
    </row>
    <row r="33" spans="1:4" x14ac:dyDescent="0.2">
      <c r="A33" s="4" t="s">
        <v>163</v>
      </c>
      <c r="B33" s="64"/>
      <c r="C33" s="64"/>
      <c r="D33" t="e">
        <f>AVERAGE(M5:M20000)</f>
        <v>#DIV/0!</v>
      </c>
    </row>
    <row r="34" spans="1:4" x14ac:dyDescent="0.2">
      <c r="A34" s="4" t="s">
        <v>164</v>
      </c>
      <c r="B34" s="64"/>
      <c r="C34" s="64"/>
      <c r="D34" t="e">
        <f>AVERAGE(N5:N20000)</f>
        <v>#DIV/0!</v>
      </c>
    </row>
    <row r="35" spans="1:4" x14ac:dyDescent="0.2">
      <c r="B35" s="64"/>
      <c r="C35" s="64"/>
    </row>
    <row r="36" spans="1:4" x14ac:dyDescent="0.2">
      <c r="A36" s="4" t="s">
        <v>160</v>
      </c>
      <c r="B36" s="64"/>
      <c r="C36" s="64"/>
      <c r="D36">
        <f>MAX(T5:T20000)</f>
        <v>0</v>
      </c>
    </row>
    <row r="37" spans="1:4" x14ac:dyDescent="0.2">
      <c r="A37" s="4" t="s">
        <v>158</v>
      </c>
      <c r="B37" s="64"/>
      <c r="C37" s="64"/>
      <c r="D37">
        <f>MIN(T5:T20000)</f>
        <v>0</v>
      </c>
    </row>
    <row r="38" spans="1:4" x14ac:dyDescent="0.2">
      <c r="A38" s="4" t="s">
        <v>159</v>
      </c>
      <c r="B38" s="64"/>
      <c r="C38" s="64"/>
      <c r="D38" t="e">
        <f>AVERAGE(T5:T20000)</f>
        <v>#DIV/0!</v>
      </c>
    </row>
  </sheetData>
  <sortState ref="F5:T69">
    <sortCondition descending="1" ref="F5:F69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SFM</vt:lpstr>
      <vt:lpstr>TRUNCATE</vt:lpstr>
      <vt:lpstr>CONNECT</vt:lpstr>
      <vt:lpstr>HULLX</vt:lpstr>
      <vt:lpstr>Hullcomp</vt:lpstr>
      <vt:lpstr>alfa</vt:lpstr>
      <vt:lpstr>cmin</vt:lpstr>
      <vt:lpstr>Lav</vt:lpstr>
      <vt:lpstr>n</vt:lpstr>
      <vt:lpstr>stdev</vt:lpstr>
      <vt:lpstr>var</vt:lpstr>
    </vt:vector>
  </TitlesOfParts>
  <Company>Baker Hughes Incorporated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Ismail Ozkaya</dc:creator>
  <cp:lastModifiedBy>Dell</cp:lastModifiedBy>
  <dcterms:created xsi:type="dcterms:W3CDTF">2009-11-06T14:11:04Z</dcterms:created>
  <dcterms:modified xsi:type="dcterms:W3CDTF">2020-05-09T09:26:58Z</dcterms:modified>
</cp:coreProperties>
</file>